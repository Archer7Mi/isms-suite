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et Register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<sst xmlns="http://schemas.openxmlformats.org/spreadsheetml/2006/main" count="302" uniqueCount="166">
  <si>
    <t xml:space="preserve">STARK INDUSTRIES</t>
  </si>
  <si>
    <t xml:space="preserve">Asset Register</t>
  </si>
  <si>
    <t xml:space="preserve">Document ID</t>
  </si>
  <si>
    <t xml:space="preserve">MS-ISMS-ASSET-004</t>
  </si>
  <si>
    <t xml:space="preserve">Version</t>
  </si>
  <si>
    <t xml:space="preserve">1.0</t>
  </si>
  <si>
    <t xml:space="preserve">Document Owner</t>
  </si>
  <si>
    <t xml:space="preserve">Stark Industries</t>
  </si>
  <si>
    <t xml:space="preserve">Prepared by</t>
  </si>
  <si>
    <t xml:space="preserve">Michael's Security</t>
  </si>
  <si>
    <t xml:space="preserve">Standard</t>
  </si>
  <si>
    <t xml:space="preserve">ISO/IEC 27001:2022</t>
  </si>
  <si>
    <t xml:space="preserve">Annex A Controls</t>
  </si>
  <si>
    <t xml:space="preserve">5.9, 5.10</t>
  </si>
  <si>
    <t xml:space="preserve">Applicable Regulation</t>
  </si>
  <si>
    <t xml:space="preserve">Kenya Data Protection Act 2019</t>
  </si>
  <si>
    <t xml:space="preserve">Classification</t>
  </si>
  <si>
    <t xml:space="preserve">Internal</t>
  </si>
  <si>
    <t xml:space="preserve">Effective Date</t>
  </si>
  <si>
    <t xml:space="preserve">May 2026</t>
  </si>
  <si>
    <t xml:space="preserve">Next Review</t>
  </si>
  <si>
    <t xml:space="preserve">May 2027</t>
  </si>
  <si>
    <t xml:space="preserve">Classification Scheme</t>
  </si>
  <si>
    <t xml:space="preserve">Public</t>
  </si>
  <si>
    <t xml:space="preserve">Approved for unrestricted public disclosure.</t>
  </si>
  <si>
    <t xml:space="preserve">Internal use only; not for external distribution.</t>
  </si>
  <si>
    <t xml:space="preserve">Confidential</t>
  </si>
  <si>
    <t xml:space="preserve">Sensitive data; access restricted to authorised personnel.</t>
  </si>
  <si>
    <t xml:space="preserve">Restricted</t>
  </si>
  <si>
    <t xml:space="preserve">Highly sensitive; strictly controlled with audit logging. Includes personal data under KDPA 2019.</t>
  </si>
  <si>
    <t xml:space="preserve">Prepared by Michael's Security  •  ISO/IEC 27001:2022  •  CONFIDENTIAL</t>
  </si>
  <si>
    <t xml:space="preserve">STARK INDUSTRIES  —  Asset Register  |  MS-ISMS-ASSET-004  |  v1.0  |  May 2026</t>
  </si>
  <si>
    <t xml:space="preserve">Asset ID</t>
  </si>
  <si>
    <t xml:space="preserve">Asset Name</t>
  </si>
  <si>
    <t xml:space="preserve">Asset Category</t>
  </si>
  <si>
    <t xml:space="preserve">Asset Owner</t>
  </si>
  <si>
    <t xml:space="preserve">Location / Environment</t>
  </si>
  <si>
    <t xml:space="preserve">Asset Value
(1–5)</t>
  </si>
  <si>
    <t xml:space="preserve">Associated Risks / Notes</t>
  </si>
  <si>
    <t xml:space="preserve">Review Date</t>
  </si>
  <si>
    <t xml:space="preserve">Status</t>
  </si>
  <si>
    <t xml:space="preserve">HW-001</t>
  </si>
  <si>
    <t xml:space="preserve">End-user Laptops</t>
  </si>
  <si>
    <t xml:space="preserve">Hardware</t>
  </si>
  <si>
    <t xml:space="preserve">IT Manager</t>
  </si>
  <si>
    <t xml:space="preserve">On-premises / Remote</t>
  </si>
  <si>
    <t xml:space="preserve">BitLocker encryption required; MDM enrolled.</t>
  </si>
  <si>
    <t xml:space="preserve">Active</t>
  </si>
  <si>
    <t xml:space="preserve">HW-002</t>
  </si>
  <si>
    <t xml:space="preserve">Production Servers</t>
  </si>
  <si>
    <t xml:space="preserve">Primary Data Centre</t>
  </si>
  <si>
    <t xml:space="preserve">Hosts core business applications and data.</t>
  </si>
  <si>
    <t xml:space="preserve">HW-003</t>
  </si>
  <si>
    <t xml:space="preserve">Network Switches &amp; Routers</t>
  </si>
  <si>
    <t xml:space="preserve">Firmware updates per change management policy.</t>
  </si>
  <si>
    <t xml:space="preserve">HW-004</t>
  </si>
  <si>
    <t xml:space="preserve">CCTV / Physical Security Sys</t>
  </si>
  <si>
    <t xml:space="preserve">Facilities Manager</t>
  </si>
  <si>
    <t xml:space="preserve">All Office Locations</t>
  </si>
  <si>
    <t xml:space="preserve">Access logs retained for 90 days.</t>
  </si>
  <si>
    <t xml:space="preserve">HW-005</t>
  </si>
  <si>
    <t xml:space="preserve">Mobile Devices (Phones)</t>
  </si>
  <si>
    <t xml:space="preserve">MDM enrolled; remote wipe capability enabled.</t>
  </si>
  <si>
    <t xml:space="preserve">SW-001</t>
  </si>
  <si>
    <t xml:space="preserve">Windows Server OS</t>
  </si>
  <si>
    <t xml:space="preserve">Software</t>
  </si>
  <si>
    <t xml:space="preserve">Patching cycle: monthly via WSUS.</t>
  </si>
  <si>
    <t xml:space="preserve">SW-002</t>
  </si>
  <si>
    <t xml:space="preserve">Microsoft 365 Suite</t>
  </si>
  <si>
    <t xml:space="preserve">Cloud (Microsoft Azure)</t>
  </si>
  <si>
    <t xml:space="preserve">MFA enforced; DLP policies applied.</t>
  </si>
  <si>
    <t xml:space="preserve">SW-003</t>
  </si>
  <si>
    <t xml:space="preserve">ERP System</t>
  </si>
  <si>
    <t xml:space="preserve">Finance Director</t>
  </si>
  <si>
    <t xml:space="preserve">Cloud (SaaS)</t>
  </si>
  <si>
    <t xml:space="preserve">Contains financial and payroll data.</t>
  </si>
  <si>
    <t xml:space="preserve">SW-004</t>
  </si>
  <si>
    <t xml:space="preserve">Endpoint Detection &amp; Response</t>
  </si>
  <si>
    <t xml:space="preserve">Cloud + Endpoints</t>
  </si>
  <si>
    <t xml:space="preserve">Alerts routed to MSSP (Michael's Security).</t>
  </si>
  <si>
    <t xml:space="preserve">SW-005</t>
  </si>
  <si>
    <t xml:space="preserve">Backup &amp; Recovery Software</t>
  </si>
  <si>
    <t xml:space="preserve">Tested quarterly per BCP (MS-ISMS-BCP-007).</t>
  </si>
  <si>
    <t xml:space="preserve">DA-001</t>
  </si>
  <si>
    <t xml:space="preserve">Customer Personal Data</t>
  </si>
  <si>
    <t xml:space="preserve">Data</t>
  </si>
  <si>
    <t xml:space="preserve">Data Protection Officer</t>
  </si>
  <si>
    <t xml:space="preserve">Cloud (Encrypted)</t>
  </si>
  <si>
    <t xml:space="preserve">Regulated under KDPA 2019 — breach notification within 72hrs.</t>
  </si>
  <si>
    <t xml:space="preserve">DA-002</t>
  </si>
  <si>
    <t xml:space="preserve">Employee HR Records</t>
  </si>
  <si>
    <t xml:space="preserve">HR Manager</t>
  </si>
  <si>
    <t xml:space="preserve">Access limited to HR &amp; CISO; KDPA 2019 applies.</t>
  </si>
  <si>
    <t xml:space="preserve">DA-003</t>
  </si>
  <si>
    <t xml:space="preserve">Financial Records</t>
  </si>
  <si>
    <t xml:space="preserve">7-year retention policy per Kenya Companies Act.</t>
  </si>
  <si>
    <t xml:space="preserve">DA-004</t>
  </si>
  <si>
    <t xml:space="preserve">System Logs &amp; Audit Trails</t>
  </si>
  <si>
    <t xml:space="preserve">SIEM / Log Server</t>
  </si>
  <si>
    <t xml:space="preserve">Retained 12 months minimum; tamper-evident.</t>
  </si>
  <si>
    <t xml:space="preserve">DA-005</t>
  </si>
  <si>
    <t xml:space="preserve">Intellectual Property</t>
  </si>
  <si>
    <t xml:space="preserve">CEO</t>
  </si>
  <si>
    <t xml:space="preserve">NDA required for access; version-controlled.</t>
  </si>
  <si>
    <t xml:space="preserve">DA-006</t>
  </si>
  <si>
    <t xml:space="preserve">Marketing &amp; Public Content</t>
  </si>
  <si>
    <t xml:space="preserve">Marketing Manager</t>
  </si>
  <si>
    <t xml:space="preserve">Website / Cloud</t>
  </si>
  <si>
    <t xml:space="preserve">No access restrictions; reviewed before publication.</t>
  </si>
  <si>
    <t xml:space="preserve">PE-001</t>
  </si>
  <si>
    <t xml:space="preserve">IT Staff</t>
  </si>
  <si>
    <t xml:space="preserve">People</t>
  </si>
  <si>
    <t xml:space="preserve">Privileged access; background checks required.</t>
  </si>
  <si>
    <t xml:space="preserve">PE-002</t>
  </si>
  <si>
    <t xml:space="preserve">All Employees</t>
  </si>
  <si>
    <t xml:space="preserve">All Locations</t>
  </si>
  <si>
    <t xml:space="preserve">Annual security awareness training mandatory.</t>
  </si>
  <si>
    <t xml:space="preserve">PE-003</t>
  </si>
  <si>
    <t xml:space="preserve">Third-Party Contractors</t>
  </si>
  <si>
    <t xml:space="preserve">Procurement Manager</t>
  </si>
  <si>
    <t xml:space="preserve">Access scoped to specific systems; NDA signed.</t>
  </si>
  <si>
    <t xml:space="preserve">PE-004</t>
  </si>
  <si>
    <t xml:space="preserve">MSSP — Michael's Security</t>
  </si>
  <si>
    <t xml:space="preserve">CISO</t>
  </si>
  <si>
    <t xml:space="preserve">Remote</t>
  </si>
  <si>
    <t xml:space="preserve">Contractual SLA; privileged access logged.</t>
  </si>
  <si>
    <t xml:space="preserve">SV-001</t>
  </si>
  <si>
    <t xml:space="preserve">Internet Connectivity (ISP)</t>
  </si>
  <si>
    <t xml:space="preserve">Services</t>
  </si>
  <si>
    <t xml:space="preserve">External / ISP</t>
  </si>
  <si>
    <t xml:space="preserve">Redundant links; SLA 99.9% uptime.</t>
  </si>
  <si>
    <t xml:space="preserve">SV-002</t>
  </si>
  <si>
    <t xml:space="preserve">Cloud Hosting (IaaS/SaaS)</t>
  </si>
  <si>
    <t xml:space="preserve">Cloud Provider</t>
  </si>
  <si>
    <t xml:space="preserve">Data residency: confirm Kenyan or GDPR-adequate zone.</t>
  </si>
  <si>
    <t xml:space="preserve">SV-003</t>
  </si>
  <si>
    <t xml:space="preserve">Managed Security (MSSP)</t>
  </si>
  <si>
    <t xml:space="preserve">Governed by Supplier Security Policy (MS-ISMS-SUP-008).</t>
  </si>
  <si>
    <t xml:space="preserve">SV-004</t>
  </si>
  <si>
    <t xml:space="preserve">Payment Processing Gateway</t>
  </si>
  <si>
    <t xml:space="preserve">External (PCI-DSS env)</t>
  </si>
  <si>
    <t xml:space="preserve">PCI-DSS compliance required; annual assessment.</t>
  </si>
  <si>
    <t xml:space="preserve">SV-005</t>
  </si>
  <si>
    <t xml:space="preserve">DNS &amp; Domain Services</t>
  </si>
  <si>
    <t xml:space="preserve">External (Registrar)</t>
  </si>
  <si>
    <t xml:space="preserve">DNSSEC enabled; auto-renewal configured.</t>
  </si>
  <si>
    <t xml:space="preserve">Summary Counts</t>
  </si>
  <si>
    <t xml:space="preserve">TOTAL ASSETS</t>
  </si>
  <si>
    <t xml:space="preserve">Asset Register — Instructions &amp; Guidance</t>
  </si>
  <si>
    <t xml:space="preserve">Unique identifier per asset. Format: [Category prefix]-[NNN]. E.g., HW-001, DA-003.</t>
  </si>
  <si>
    <t xml:space="preserve">Descriptive name for the asset. Be specific (e.g., 'Production SQL Server' not 'Server').</t>
  </si>
  <si>
    <t xml:space="preserve">Select from dropdown: Hardware / Software / Data / People / Services.</t>
  </si>
  <si>
    <t xml:space="preserve">The individual role accountable for the asset's security and lifecycle.</t>
  </si>
  <si>
    <t xml:space="preserve">Select from dropdown. See Cover sheet for classification definitions.</t>
  </si>
  <si>
    <t xml:space="preserve">Physical or logical location. E.g., 'On-premises', 'Cloud (AWS)', 'Remote'.</t>
  </si>
  <si>
    <t xml:space="preserve">Asset Value (1–5)</t>
  </si>
  <si>
    <t xml:space="preserve">1 = Low criticality / 5 = Mission-critical. Used to prioritise risk treatment.</t>
  </si>
  <si>
    <t xml:space="preserve">Key risks, controls applied, or regulatory obligations linked to this asset.</t>
  </si>
  <si>
    <t xml:space="preserve">Date asset record was last reviewed. Minimum annual review required.</t>
  </si>
  <si>
    <t xml:space="preserve">Select: Active / Under Review / Decommissioned. Remove decommissioned assets after 1 year.</t>
  </si>
  <si>
    <t xml:space="preserve">ISO/IEC 27001:2022 — Annex A Control Reference</t>
  </si>
  <si>
    <t xml:space="preserve">5.9</t>
  </si>
  <si>
    <t xml:space="preserve">Inventory of information and other associated assets — Identify and maintain an asset inventory.</t>
  </si>
  <si>
    <t xml:space="preserve">5.10</t>
  </si>
  <si>
    <t xml:space="preserve">Acceptable use of information and other associated assets — Define and implement acceptable use rules.</t>
  </si>
  <si>
    <t xml:space="preserve">Prepared by Michael's Security  •  ISO/IEC 27001:2022  •  Document: MS-ISMS-ASSET-004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</si>
</sst>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444444"/>
      <name val="Arial"/>
      <family val="0"/>
      <charset val="1"/>
    </font>
    <font>
      <b val="true"/>
      <sz val="11"/>
      <color rgb="FF274E13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7D4F00"/>
      <name val="Arial"/>
      <family val="0"/>
      <charset val="1"/>
    </font>
    <font>
      <b val="true"/>
      <sz val="11"/>
      <color rgb="FF7B00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b val="true"/>
      <sz val="10"/>
      <color rgb="FF7D4F00"/>
      <name val="Arial"/>
      <family val="0"/>
      <charset val="1"/>
    </font>
    <font>
      <b val="true"/>
      <sz val="10"/>
      <color rgb="FF7B0000"/>
      <name val="Arial"/>
      <family val="0"/>
      <charset val="1"/>
    </font>
    <font>
      <b val="true"/>
      <sz val="10"/>
      <color rgb="FF274E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E8B84B"/>
        <bgColor rgb="FFFF9900"/>
      </patternFill>
    </fill>
    <fill>
      <patternFill patternType="solid">
        <fgColor rgb="FFD6E4F0"/>
        <bgColor rgb="FFD9EAD3"/>
      </patternFill>
    </fill>
    <fill>
      <patternFill patternType="solid">
        <fgColor rgb="FFD9EAD3"/>
        <bgColor rgb="FFD6E4F0"/>
      </patternFill>
    </fill>
    <fill>
      <patternFill patternType="solid">
        <fgColor rgb="FFFFF2CC"/>
        <bgColor rgb="FFF5F5F5"/>
      </patternFill>
    </fill>
    <fill>
      <patternFill patternType="solid">
        <fgColor rgb="FFF4CCCC"/>
        <bgColor rgb="FFD6E4F0"/>
      </patternFill>
    </fill>
    <fill>
      <patternFill patternType="solid">
        <fgColor rgb="FFF5F5F5"/>
        <bgColor rgb="FFF0F4FA"/>
      </patternFill>
    </fill>
    <fill>
      <patternFill patternType="solid">
        <fgColor rgb="FFFFFFFF"/>
        <bgColor rgb="FFF5F5F5"/>
      </patternFill>
    </fill>
    <fill>
      <patternFill patternType="solid">
        <fgColor rgb="FFF0F4FA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2CC"/>
      <rgbColor rgb="FFF0F4FA"/>
      <rgbColor rgb="FF660066"/>
      <rgbColor rgb="FFFF8080"/>
      <rgbColor rgb="FF2E5FA3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E8B84B"/>
      <rgbColor rgb="FFFF9900"/>
      <rgbColor rgb="FFFF6600"/>
      <rgbColor rgb="FF666699"/>
      <rgbColor rgb="FF969696"/>
      <rgbColor rgb="FF1F3864"/>
      <rgbColor rgb="FF339966"/>
      <rgbColor rgb="FF003300"/>
      <rgbColor rgb="FF274E13"/>
      <rgbColor rgb="FF7D4F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42"/>
  </cols>
  <sheetData>
    <row r="1" customFormat="false" ht="42" hidden="false" customHeight="true" outlineLevel="0" collapsed="false">
      <c r="A1" s="1" t="s">
        <v>0</v>
      </c>
      <c r="B1" s="1"/>
    </row>
    <row r="2" customFormat="false" ht="30" hidden="false" customHeight="true" outlineLevel="0" collapsed="false">
      <c r="A2" s="2" t="s">
        <v>1</v>
      </c>
      <c r="B2" s="2"/>
    </row>
    <row r="3" customFormat="false" ht="6" hidden="false" customHeight="true" outlineLevel="0" collapsed="false">
      <c r="A3" s="3"/>
      <c r="B3" s="3"/>
    </row>
    <row r="4" customFormat="false" ht="13.5" hidden="false" customHeight="true" outlineLevel="0" collapsed="false"/>
    <row r="5" customFormat="false" ht="21.75" hidden="false" customHeight="true" outlineLevel="0" collapsed="false">
      <c r="A5" s="4" t="s">
        <v>2</v>
      </c>
      <c r="B5" s="5" t="s">
        <v>3</v>
      </c>
    </row>
    <row r="6" customFormat="false" ht="21.75" hidden="false" customHeight="true" outlineLevel="0" collapsed="false">
      <c r="A6" s="4" t="s">
        <v>4</v>
      </c>
      <c r="B6" s="5" t="s">
        <v>5</v>
      </c>
    </row>
    <row r="7" customFormat="false" ht="21.75" hidden="false" customHeight="true" outlineLevel="0" collapsed="false">
      <c r="A7" s="4" t="s">
        <v>6</v>
      </c>
      <c r="B7" s="5" t="s">
        <v>7</v>
      </c>
    </row>
    <row r="8" customFormat="false" ht="21.75" hidden="false" customHeight="true" outlineLevel="0" collapsed="false">
      <c r="A8" s="4" t="s">
        <v>8</v>
      </c>
      <c r="B8" s="5" t="s">
        <v>9</v>
      </c>
    </row>
    <row r="9" customFormat="false" ht="21.75" hidden="false" customHeight="true" outlineLevel="0" collapsed="false">
      <c r="A9" s="4" t="s">
        <v>10</v>
      </c>
      <c r="B9" s="5" t="s">
        <v>11</v>
      </c>
    </row>
    <row r="10" customFormat="false" ht="21.75" hidden="false" customHeight="true" outlineLevel="0" collapsed="false">
      <c r="A10" s="4" t="s">
        <v>12</v>
      </c>
      <c r="B10" s="5" t="s">
        <v>13</v>
      </c>
    </row>
    <row r="11" customFormat="false" ht="21.75" hidden="false" customHeight="true" outlineLevel="0" collapsed="false">
      <c r="A11" s="4" t="s">
        <v>14</v>
      </c>
      <c r="B11" s="5" t="s">
        <v>15</v>
      </c>
    </row>
    <row r="12" customFormat="false" ht="21.75" hidden="false" customHeight="true" outlineLevel="0" collapsed="false">
      <c r="A12" s="4" t="s">
        <v>16</v>
      </c>
      <c r="B12" s="5" t="s">
        <v>17</v>
      </c>
    </row>
    <row r="13" customFormat="false" ht="21.75" hidden="false" customHeight="true" outlineLevel="0" collapsed="false">
      <c r="A13" s="4" t="s">
        <v>18</v>
      </c>
      <c r="B13" s="5" t="s">
        <v>19</v>
      </c>
    </row>
    <row r="14" customFormat="false" ht="21.75" hidden="false" customHeight="true" outlineLevel="0" collapsed="false">
      <c r="A14" s="4" t="s">
        <v>20</v>
      </c>
      <c r="B14" s="5" t="s">
        <v>21</v>
      </c>
    </row>
    <row r="16" customFormat="false" ht="18" hidden="false" customHeight="true" outlineLevel="0" collapsed="false"/>
    <row r="17" customFormat="false" ht="21.75" hidden="false" customHeight="true" outlineLevel="0" collapsed="false">
      <c r="A17" s="6" t="s">
        <v>22</v>
      </c>
      <c r="B17" s="6"/>
    </row>
    <row r="18" customFormat="false" ht="31.5" hidden="false" customHeight="true" outlineLevel="0" collapsed="false">
      <c r="A18" s="7" t="s">
        <v>23</v>
      </c>
      <c r="B18" s="8" t="s">
        <v>24</v>
      </c>
    </row>
    <row r="19" customFormat="false" ht="31.5" hidden="false" customHeight="true" outlineLevel="0" collapsed="false">
      <c r="A19" s="9" t="s">
        <v>17</v>
      </c>
      <c r="B19" s="10" t="s">
        <v>25</v>
      </c>
    </row>
    <row r="20" customFormat="false" ht="31.5" hidden="false" customHeight="true" outlineLevel="0" collapsed="false">
      <c r="A20" s="11" t="s">
        <v>26</v>
      </c>
      <c r="B20" s="12" t="s">
        <v>27</v>
      </c>
    </row>
    <row r="21" customFormat="false" ht="31.5" hidden="false" customHeight="true" outlineLevel="0" collapsed="false">
      <c r="A21" s="13" t="s">
        <v>28</v>
      </c>
      <c r="B21" s="14" t="s">
        <v>29</v>
      </c>
    </row>
    <row r="23" customFormat="false" ht="18" hidden="false" customHeight="true" outlineLevel="0" collapsed="false">
      <c r="A23" s="15" t="s">
        <v>30</v>
      </c>
      <c r="B23" s="15"/>
    </row>
  </sheetData>
  <mergeCells count="5">
    <mergeCell ref="A1:B1"/>
    <mergeCell ref="A2:B2"/>
    <mergeCell ref="A3:B3"/>
    <mergeCell ref="A17:B17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FA3"/>
    <pageSetUpPr fitToPage="false"/>
  </sheetPr>
  <dimension ref="A1:J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27.75" hidden="false" customHeight="true" outlineLevel="0" collapsed="false">
      <c r="A1" s="16" t="s">
        <v>31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36" hidden="false" customHeight="true" outlineLevel="0" collapsed="false">
      <c r="A2" s="17" t="s">
        <v>32</v>
      </c>
      <c r="B2" s="17" t="s">
        <v>33</v>
      </c>
      <c r="C2" s="17" t="s">
        <v>34</v>
      </c>
      <c r="D2" s="17" t="s">
        <v>35</v>
      </c>
      <c r="E2" s="17" t="s">
        <v>16</v>
      </c>
      <c r="F2" s="17" t="s">
        <v>36</v>
      </c>
      <c r="G2" s="17" t="s">
        <v>37</v>
      </c>
      <c r="H2" s="17" t="s">
        <v>38</v>
      </c>
      <c r="I2" s="17" t="s">
        <v>39</v>
      </c>
      <c r="J2" s="17" t="s">
        <v>40</v>
      </c>
    </row>
    <row r="3" customFormat="false" ht="27.75" hidden="false" customHeight="true" outlineLevel="0" collapsed="false">
      <c r="A3" s="18" t="s">
        <v>41</v>
      </c>
      <c r="B3" s="18" t="s">
        <v>42</v>
      </c>
      <c r="C3" s="18" t="s">
        <v>43</v>
      </c>
      <c r="D3" s="18" t="s">
        <v>44</v>
      </c>
      <c r="E3" s="19" t="s">
        <v>17</v>
      </c>
      <c r="F3" s="18" t="s">
        <v>45</v>
      </c>
      <c r="G3" s="20" t="n">
        <v>3</v>
      </c>
      <c r="H3" s="18" t="s">
        <v>46</v>
      </c>
      <c r="I3" s="18" t="s">
        <v>21</v>
      </c>
      <c r="J3" s="18" t="s">
        <v>47</v>
      </c>
    </row>
    <row r="4" customFormat="false" ht="27.75" hidden="false" customHeight="true" outlineLevel="0" collapsed="false">
      <c r="A4" s="21" t="s">
        <v>48</v>
      </c>
      <c r="B4" s="21" t="s">
        <v>49</v>
      </c>
      <c r="C4" s="21" t="s">
        <v>43</v>
      </c>
      <c r="D4" s="21" t="s">
        <v>44</v>
      </c>
      <c r="E4" s="22" t="s">
        <v>26</v>
      </c>
      <c r="F4" s="21" t="s">
        <v>50</v>
      </c>
      <c r="G4" s="23" t="n">
        <v>5</v>
      </c>
      <c r="H4" s="21" t="s">
        <v>51</v>
      </c>
      <c r="I4" s="21" t="s">
        <v>21</v>
      </c>
      <c r="J4" s="21" t="s">
        <v>47</v>
      </c>
    </row>
    <row r="5" customFormat="false" ht="27.75" hidden="false" customHeight="true" outlineLevel="0" collapsed="false">
      <c r="A5" s="18" t="s">
        <v>52</v>
      </c>
      <c r="B5" s="18" t="s">
        <v>53</v>
      </c>
      <c r="C5" s="18" t="s">
        <v>43</v>
      </c>
      <c r="D5" s="18" t="s">
        <v>44</v>
      </c>
      <c r="E5" s="22" t="s">
        <v>26</v>
      </c>
      <c r="F5" s="18" t="s">
        <v>50</v>
      </c>
      <c r="G5" s="20" t="n">
        <v>4</v>
      </c>
      <c r="H5" s="18" t="s">
        <v>54</v>
      </c>
      <c r="I5" s="18" t="s">
        <v>21</v>
      </c>
      <c r="J5" s="18" t="s">
        <v>47</v>
      </c>
    </row>
    <row r="6" customFormat="false" ht="27.75" hidden="false" customHeight="true" outlineLevel="0" collapsed="false">
      <c r="A6" s="21" t="s">
        <v>55</v>
      </c>
      <c r="B6" s="21" t="s">
        <v>56</v>
      </c>
      <c r="C6" s="21" t="s">
        <v>43</v>
      </c>
      <c r="D6" s="21" t="s">
        <v>57</v>
      </c>
      <c r="E6" s="19" t="s">
        <v>17</v>
      </c>
      <c r="F6" s="21" t="s">
        <v>58</v>
      </c>
      <c r="G6" s="23" t="n">
        <v>2</v>
      </c>
      <c r="H6" s="21" t="s">
        <v>59</v>
      </c>
      <c r="I6" s="21" t="s">
        <v>21</v>
      </c>
      <c r="J6" s="21" t="s">
        <v>47</v>
      </c>
    </row>
    <row r="7" customFormat="false" ht="27.75" hidden="false" customHeight="true" outlineLevel="0" collapsed="false">
      <c r="A7" s="18" t="s">
        <v>60</v>
      </c>
      <c r="B7" s="18" t="s">
        <v>61</v>
      </c>
      <c r="C7" s="18" t="s">
        <v>43</v>
      </c>
      <c r="D7" s="18" t="s">
        <v>44</v>
      </c>
      <c r="E7" s="19" t="s">
        <v>17</v>
      </c>
      <c r="F7" s="18" t="s">
        <v>45</v>
      </c>
      <c r="G7" s="20" t="n">
        <v>3</v>
      </c>
      <c r="H7" s="18" t="s">
        <v>62</v>
      </c>
      <c r="I7" s="18" t="s">
        <v>21</v>
      </c>
      <c r="J7" s="18" t="s">
        <v>47</v>
      </c>
    </row>
    <row r="8" customFormat="false" ht="27.75" hidden="false" customHeight="true" outlineLevel="0" collapsed="false">
      <c r="A8" s="21" t="s">
        <v>63</v>
      </c>
      <c r="B8" s="21" t="s">
        <v>64</v>
      </c>
      <c r="C8" s="21" t="s">
        <v>65</v>
      </c>
      <c r="D8" s="21" t="s">
        <v>44</v>
      </c>
      <c r="E8" s="22" t="s">
        <v>26</v>
      </c>
      <c r="F8" s="21" t="s">
        <v>50</v>
      </c>
      <c r="G8" s="23" t="n">
        <v>4</v>
      </c>
      <c r="H8" s="21" t="s">
        <v>66</v>
      </c>
      <c r="I8" s="21" t="s">
        <v>21</v>
      </c>
      <c r="J8" s="21" t="s">
        <v>47</v>
      </c>
    </row>
    <row r="9" customFormat="false" ht="27.75" hidden="false" customHeight="true" outlineLevel="0" collapsed="false">
      <c r="A9" s="18" t="s">
        <v>67</v>
      </c>
      <c r="B9" s="18" t="s">
        <v>68</v>
      </c>
      <c r="C9" s="18" t="s">
        <v>65</v>
      </c>
      <c r="D9" s="18" t="s">
        <v>44</v>
      </c>
      <c r="E9" s="19" t="s">
        <v>17</v>
      </c>
      <c r="F9" s="18" t="s">
        <v>69</v>
      </c>
      <c r="G9" s="20" t="n">
        <v>3</v>
      </c>
      <c r="H9" s="18" t="s">
        <v>70</v>
      </c>
      <c r="I9" s="18" t="s">
        <v>21</v>
      </c>
      <c r="J9" s="18" t="s">
        <v>47</v>
      </c>
    </row>
    <row r="10" customFormat="false" ht="27.75" hidden="false" customHeight="true" outlineLevel="0" collapsed="false">
      <c r="A10" s="21" t="s">
        <v>71</v>
      </c>
      <c r="B10" s="21" t="s">
        <v>72</v>
      </c>
      <c r="C10" s="21" t="s">
        <v>65</v>
      </c>
      <c r="D10" s="21" t="s">
        <v>73</v>
      </c>
      <c r="E10" s="22" t="s">
        <v>26</v>
      </c>
      <c r="F10" s="21" t="s">
        <v>74</v>
      </c>
      <c r="G10" s="23" t="n">
        <v>5</v>
      </c>
      <c r="H10" s="21" t="s">
        <v>75</v>
      </c>
      <c r="I10" s="21" t="s">
        <v>21</v>
      </c>
      <c r="J10" s="21" t="s">
        <v>47</v>
      </c>
    </row>
    <row r="11" customFormat="false" ht="27.75" hidden="false" customHeight="true" outlineLevel="0" collapsed="false">
      <c r="A11" s="18" t="s">
        <v>76</v>
      </c>
      <c r="B11" s="18" t="s">
        <v>77</v>
      </c>
      <c r="C11" s="18" t="s">
        <v>65</v>
      </c>
      <c r="D11" s="18" t="s">
        <v>44</v>
      </c>
      <c r="E11" s="22" t="s">
        <v>26</v>
      </c>
      <c r="F11" s="18" t="s">
        <v>78</v>
      </c>
      <c r="G11" s="20" t="n">
        <v>4</v>
      </c>
      <c r="H11" s="18" t="s">
        <v>79</v>
      </c>
      <c r="I11" s="18" t="s">
        <v>21</v>
      </c>
      <c r="J11" s="18" t="s">
        <v>47</v>
      </c>
    </row>
    <row r="12" customFormat="false" ht="27.75" hidden="false" customHeight="true" outlineLevel="0" collapsed="false">
      <c r="A12" s="21" t="s">
        <v>80</v>
      </c>
      <c r="B12" s="21" t="s">
        <v>81</v>
      </c>
      <c r="C12" s="21" t="s">
        <v>65</v>
      </c>
      <c r="D12" s="21" t="s">
        <v>44</v>
      </c>
      <c r="E12" s="22" t="s">
        <v>26</v>
      </c>
      <c r="F12" s="21" t="s">
        <v>50</v>
      </c>
      <c r="G12" s="23" t="n">
        <v>5</v>
      </c>
      <c r="H12" s="21" t="s">
        <v>82</v>
      </c>
      <c r="I12" s="21" t="s">
        <v>21</v>
      </c>
      <c r="J12" s="21" t="s">
        <v>47</v>
      </c>
    </row>
    <row r="13" customFormat="false" ht="27.75" hidden="false" customHeight="true" outlineLevel="0" collapsed="false">
      <c r="A13" s="18" t="s">
        <v>83</v>
      </c>
      <c r="B13" s="18" t="s">
        <v>84</v>
      </c>
      <c r="C13" s="18" t="s">
        <v>85</v>
      </c>
      <c r="D13" s="18" t="s">
        <v>86</v>
      </c>
      <c r="E13" s="24" t="s">
        <v>28</v>
      </c>
      <c r="F13" s="18" t="s">
        <v>87</v>
      </c>
      <c r="G13" s="20" t="n">
        <v>5</v>
      </c>
      <c r="H13" s="18" t="s">
        <v>88</v>
      </c>
      <c r="I13" s="18" t="s">
        <v>21</v>
      </c>
      <c r="J13" s="18" t="s">
        <v>47</v>
      </c>
    </row>
    <row r="14" customFormat="false" ht="27.75" hidden="false" customHeight="true" outlineLevel="0" collapsed="false">
      <c r="A14" s="21" t="s">
        <v>89</v>
      </c>
      <c r="B14" s="21" t="s">
        <v>90</v>
      </c>
      <c r="C14" s="21" t="s">
        <v>85</v>
      </c>
      <c r="D14" s="21" t="s">
        <v>91</v>
      </c>
      <c r="E14" s="24" t="s">
        <v>28</v>
      </c>
      <c r="F14" s="21" t="s">
        <v>87</v>
      </c>
      <c r="G14" s="23" t="n">
        <v>5</v>
      </c>
      <c r="H14" s="21" t="s">
        <v>92</v>
      </c>
      <c r="I14" s="21" t="s">
        <v>21</v>
      </c>
      <c r="J14" s="21" t="s">
        <v>47</v>
      </c>
    </row>
    <row r="15" customFormat="false" ht="27.75" hidden="false" customHeight="true" outlineLevel="0" collapsed="false">
      <c r="A15" s="18" t="s">
        <v>93</v>
      </c>
      <c r="B15" s="18" t="s">
        <v>94</v>
      </c>
      <c r="C15" s="18" t="s">
        <v>85</v>
      </c>
      <c r="D15" s="18" t="s">
        <v>73</v>
      </c>
      <c r="E15" s="22" t="s">
        <v>26</v>
      </c>
      <c r="F15" s="18" t="s">
        <v>87</v>
      </c>
      <c r="G15" s="20" t="n">
        <v>5</v>
      </c>
      <c r="H15" s="18" t="s">
        <v>95</v>
      </c>
      <c r="I15" s="18" t="s">
        <v>21</v>
      </c>
      <c r="J15" s="18" t="s">
        <v>47</v>
      </c>
    </row>
    <row r="16" customFormat="false" ht="27.75" hidden="false" customHeight="true" outlineLevel="0" collapsed="false">
      <c r="A16" s="21" t="s">
        <v>96</v>
      </c>
      <c r="B16" s="21" t="s">
        <v>97</v>
      </c>
      <c r="C16" s="21" t="s">
        <v>85</v>
      </c>
      <c r="D16" s="21" t="s">
        <v>44</v>
      </c>
      <c r="E16" s="22" t="s">
        <v>26</v>
      </c>
      <c r="F16" s="21" t="s">
        <v>98</v>
      </c>
      <c r="G16" s="23" t="n">
        <v>4</v>
      </c>
      <c r="H16" s="21" t="s">
        <v>99</v>
      </c>
      <c r="I16" s="21" t="s">
        <v>21</v>
      </c>
      <c r="J16" s="21" t="s">
        <v>47</v>
      </c>
    </row>
    <row r="17" customFormat="false" ht="27.75" hidden="false" customHeight="true" outlineLevel="0" collapsed="false">
      <c r="A17" s="18" t="s">
        <v>100</v>
      </c>
      <c r="B17" s="18" t="s">
        <v>101</v>
      </c>
      <c r="C17" s="18" t="s">
        <v>85</v>
      </c>
      <c r="D17" s="18" t="s">
        <v>102</v>
      </c>
      <c r="E17" s="24" t="s">
        <v>28</v>
      </c>
      <c r="F17" s="18" t="s">
        <v>87</v>
      </c>
      <c r="G17" s="20" t="n">
        <v>5</v>
      </c>
      <c r="H17" s="18" t="s">
        <v>103</v>
      </c>
      <c r="I17" s="18" t="s">
        <v>21</v>
      </c>
      <c r="J17" s="18" t="s">
        <v>47</v>
      </c>
    </row>
    <row r="18" customFormat="false" ht="27.75" hidden="false" customHeight="true" outlineLevel="0" collapsed="false">
      <c r="A18" s="21" t="s">
        <v>104</v>
      </c>
      <c r="B18" s="21" t="s">
        <v>105</v>
      </c>
      <c r="C18" s="21" t="s">
        <v>85</v>
      </c>
      <c r="D18" s="21" t="s">
        <v>106</v>
      </c>
      <c r="E18" s="25" t="s">
        <v>23</v>
      </c>
      <c r="F18" s="21" t="s">
        <v>107</v>
      </c>
      <c r="G18" s="23" t="n">
        <v>1</v>
      </c>
      <c r="H18" s="21" t="s">
        <v>108</v>
      </c>
      <c r="I18" s="21" t="s">
        <v>21</v>
      </c>
      <c r="J18" s="21" t="s">
        <v>47</v>
      </c>
    </row>
    <row r="19" customFormat="false" ht="27.75" hidden="false" customHeight="true" outlineLevel="0" collapsed="false">
      <c r="A19" s="18" t="s">
        <v>109</v>
      </c>
      <c r="B19" s="18" t="s">
        <v>110</v>
      </c>
      <c r="C19" s="18" t="s">
        <v>111</v>
      </c>
      <c r="D19" s="18" t="s">
        <v>44</v>
      </c>
      <c r="E19" s="19" t="s">
        <v>17</v>
      </c>
      <c r="F19" s="18" t="s">
        <v>45</v>
      </c>
      <c r="G19" s="20" t="n">
        <v>4</v>
      </c>
      <c r="H19" s="18" t="s">
        <v>112</v>
      </c>
      <c r="I19" s="18" t="s">
        <v>21</v>
      </c>
      <c r="J19" s="18" t="s">
        <v>47</v>
      </c>
    </row>
    <row r="20" customFormat="false" ht="27.75" hidden="false" customHeight="true" outlineLevel="0" collapsed="false">
      <c r="A20" s="21" t="s">
        <v>113</v>
      </c>
      <c r="B20" s="21" t="s">
        <v>114</v>
      </c>
      <c r="C20" s="21" t="s">
        <v>111</v>
      </c>
      <c r="D20" s="21" t="s">
        <v>91</v>
      </c>
      <c r="E20" s="19" t="s">
        <v>17</v>
      </c>
      <c r="F20" s="21" t="s">
        <v>115</v>
      </c>
      <c r="G20" s="23" t="n">
        <v>2</v>
      </c>
      <c r="H20" s="21" t="s">
        <v>116</v>
      </c>
      <c r="I20" s="21" t="s">
        <v>21</v>
      </c>
      <c r="J20" s="21" t="s">
        <v>47</v>
      </c>
    </row>
    <row r="21" customFormat="false" ht="27.75" hidden="false" customHeight="true" outlineLevel="0" collapsed="false">
      <c r="A21" s="18" t="s">
        <v>117</v>
      </c>
      <c r="B21" s="18" t="s">
        <v>118</v>
      </c>
      <c r="C21" s="18" t="s">
        <v>111</v>
      </c>
      <c r="D21" s="18" t="s">
        <v>119</v>
      </c>
      <c r="E21" s="19" t="s">
        <v>17</v>
      </c>
      <c r="F21" s="18" t="s">
        <v>45</v>
      </c>
      <c r="G21" s="20" t="n">
        <v>3</v>
      </c>
      <c r="H21" s="18" t="s">
        <v>120</v>
      </c>
      <c r="I21" s="18" t="s">
        <v>21</v>
      </c>
      <c r="J21" s="18" t="s">
        <v>47</v>
      </c>
    </row>
    <row r="22" customFormat="false" ht="27.75" hidden="false" customHeight="true" outlineLevel="0" collapsed="false">
      <c r="A22" s="21" t="s">
        <v>121</v>
      </c>
      <c r="B22" s="21" t="s">
        <v>122</v>
      </c>
      <c r="C22" s="21" t="s">
        <v>111</v>
      </c>
      <c r="D22" s="21" t="s">
        <v>123</v>
      </c>
      <c r="E22" s="22" t="s">
        <v>26</v>
      </c>
      <c r="F22" s="21" t="s">
        <v>124</v>
      </c>
      <c r="G22" s="23" t="n">
        <v>4</v>
      </c>
      <c r="H22" s="21" t="s">
        <v>125</v>
      </c>
      <c r="I22" s="21" t="s">
        <v>21</v>
      </c>
      <c r="J22" s="21" t="s">
        <v>47</v>
      </c>
    </row>
    <row r="23" customFormat="false" ht="27.75" hidden="false" customHeight="true" outlineLevel="0" collapsed="false">
      <c r="A23" s="18" t="s">
        <v>126</v>
      </c>
      <c r="B23" s="18" t="s">
        <v>127</v>
      </c>
      <c r="C23" s="18" t="s">
        <v>128</v>
      </c>
      <c r="D23" s="18" t="s">
        <v>44</v>
      </c>
      <c r="E23" s="19" t="s">
        <v>17</v>
      </c>
      <c r="F23" s="18" t="s">
        <v>129</v>
      </c>
      <c r="G23" s="20" t="n">
        <v>3</v>
      </c>
      <c r="H23" s="18" t="s">
        <v>130</v>
      </c>
      <c r="I23" s="18" t="s">
        <v>21</v>
      </c>
      <c r="J23" s="18" t="s">
        <v>47</v>
      </c>
    </row>
    <row r="24" customFormat="false" ht="27.75" hidden="false" customHeight="true" outlineLevel="0" collapsed="false">
      <c r="A24" s="21" t="s">
        <v>131</v>
      </c>
      <c r="B24" s="21" t="s">
        <v>132</v>
      </c>
      <c r="C24" s="21" t="s">
        <v>128</v>
      </c>
      <c r="D24" s="21" t="s">
        <v>44</v>
      </c>
      <c r="E24" s="22" t="s">
        <v>26</v>
      </c>
      <c r="F24" s="21" t="s">
        <v>133</v>
      </c>
      <c r="G24" s="23" t="n">
        <v>5</v>
      </c>
      <c r="H24" s="21" t="s">
        <v>134</v>
      </c>
      <c r="I24" s="21" t="s">
        <v>21</v>
      </c>
      <c r="J24" s="21" t="s">
        <v>47</v>
      </c>
    </row>
    <row r="25" customFormat="false" ht="27.75" hidden="false" customHeight="true" outlineLevel="0" collapsed="false">
      <c r="A25" s="18" t="s">
        <v>135</v>
      </c>
      <c r="B25" s="18" t="s">
        <v>136</v>
      </c>
      <c r="C25" s="18" t="s">
        <v>128</v>
      </c>
      <c r="D25" s="18" t="s">
        <v>123</v>
      </c>
      <c r="E25" s="22" t="s">
        <v>26</v>
      </c>
      <c r="F25" s="18" t="s">
        <v>124</v>
      </c>
      <c r="G25" s="20" t="n">
        <v>4</v>
      </c>
      <c r="H25" s="18" t="s">
        <v>137</v>
      </c>
      <c r="I25" s="18" t="s">
        <v>21</v>
      </c>
      <c r="J25" s="18" t="s">
        <v>47</v>
      </c>
    </row>
    <row r="26" customFormat="false" ht="27.75" hidden="false" customHeight="true" outlineLevel="0" collapsed="false">
      <c r="A26" s="21" t="s">
        <v>138</v>
      </c>
      <c r="B26" s="21" t="s">
        <v>139</v>
      </c>
      <c r="C26" s="21" t="s">
        <v>128</v>
      </c>
      <c r="D26" s="21" t="s">
        <v>73</v>
      </c>
      <c r="E26" s="24" t="s">
        <v>28</v>
      </c>
      <c r="F26" s="21" t="s">
        <v>140</v>
      </c>
      <c r="G26" s="23" t="n">
        <v>5</v>
      </c>
      <c r="H26" s="21" t="s">
        <v>141</v>
      </c>
      <c r="I26" s="21" t="s">
        <v>21</v>
      </c>
      <c r="J26" s="21" t="s">
        <v>47</v>
      </c>
    </row>
    <row r="27" customFormat="false" ht="27.75" hidden="false" customHeight="true" outlineLevel="0" collapsed="false">
      <c r="A27" s="18" t="s">
        <v>142</v>
      </c>
      <c r="B27" s="18" t="s">
        <v>143</v>
      </c>
      <c r="C27" s="18" t="s">
        <v>128</v>
      </c>
      <c r="D27" s="18" t="s">
        <v>44</v>
      </c>
      <c r="E27" s="19" t="s">
        <v>17</v>
      </c>
      <c r="F27" s="18" t="s">
        <v>144</v>
      </c>
      <c r="G27" s="20" t="n">
        <v>2</v>
      </c>
      <c r="H27" s="18" t="s">
        <v>145</v>
      </c>
      <c r="I27" s="18" t="s">
        <v>21</v>
      </c>
      <c r="J27" s="18" t="s">
        <v>47</v>
      </c>
    </row>
    <row r="29" customFormat="false" ht="21.75" hidden="false" customHeight="true" outlineLevel="0" collapsed="false">
      <c r="A29" s="6" t="s">
        <v>146</v>
      </c>
      <c r="B29" s="6"/>
    </row>
    <row r="30" customFormat="false" ht="19.5" hidden="false" customHeight="true" outlineLevel="0" collapsed="false">
      <c r="A30" s="26" t="s">
        <v>43</v>
      </c>
      <c r="B30" s="27" t="n">
        <f aca="false">COUNTIF(C3:C27,"Hardware")</f>
        <v>5</v>
      </c>
    </row>
    <row r="31" customFormat="false" ht="19.5" hidden="false" customHeight="true" outlineLevel="0" collapsed="false">
      <c r="A31" s="26" t="s">
        <v>65</v>
      </c>
      <c r="B31" s="27" t="n">
        <f aca="false">COUNTIF(C3:C27,"Software")</f>
        <v>5</v>
      </c>
    </row>
    <row r="32" customFormat="false" ht="19.5" hidden="false" customHeight="true" outlineLevel="0" collapsed="false">
      <c r="A32" s="26" t="s">
        <v>85</v>
      </c>
      <c r="B32" s="27" t="n">
        <f aca="false">COUNTIF(C3:C27,"Data")</f>
        <v>6</v>
      </c>
    </row>
    <row r="33" customFormat="false" ht="19.5" hidden="false" customHeight="true" outlineLevel="0" collapsed="false">
      <c r="A33" s="26" t="s">
        <v>111</v>
      </c>
      <c r="B33" s="27" t="n">
        <f aca="false">COUNTIF(C3:C27,"People")</f>
        <v>4</v>
      </c>
    </row>
    <row r="34" customFormat="false" ht="19.5" hidden="false" customHeight="true" outlineLevel="0" collapsed="false">
      <c r="A34" s="26" t="s">
        <v>128</v>
      </c>
      <c r="B34" s="27" t="n">
        <f aca="false">COUNTIF(C3:C27,"Services")</f>
        <v>5</v>
      </c>
    </row>
    <row r="35" customFormat="false" ht="21.75" hidden="false" customHeight="true" outlineLevel="0" collapsed="false">
      <c r="A35" s="28" t="s">
        <v>147</v>
      </c>
      <c r="B35" s="28" t="n">
        <f aca="false">SUM(B30:B34)</f>
        <v>25</v>
      </c>
    </row>
  </sheetData>
  <mergeCells count="2">
    <mergeCell ref="A1:J1"/>
    <mergeCell ref="A29:B29"/>
  </mergeCells>
  <dataValidations count="4">
    <dataValidation allowBlank="false" errorStyle="stop" operator="between" showDropDown="false" showErrorMessage="false" showInputMessage="false" sqref="E3:E200" type="list">
      <formula1>"Public,Internal,Confidential,Restricted"</formula1>
      <formula2>0</formula2>
    </dataValidation>
    <dataValidation allowBlank="false" errorStyle="stop" operator="between" showDropDown="false" showErrorMessage="false" showInputMessage="false" sqref="C3:C200" type="list">
      <formula1>"Hardware,Software,Data,People,Services"</formula1>
      <formula2>0</formula2>
    </dataValidation>
    <dataValidation allowBlank="false" errorStyle="stop" operator="between" showDropDown="false" showErrorMessage="false" showInputMessage="false" sqref="J3:J200" type="list">
      <formula1>"Active,Under Review,Decommissioned"</formula1>
      <formula2>0</formula2>
    </dataValidation>
    <dataValidation allowBlank="true" errorStyle="stop" operator="between" showDropDown="false" showErrorMessage="false" showInputMessage="false" sqref="G3:G20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B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60"/>
  </cols>
  <sheetData>
    <row r="1" customFormat="false" ht="30" hidden="false" customHeight="true" outlineLevel="0" collapsed="false">
      <c r="A1" s="29" t="s">
        <v>148</v>
      </c>
      <c r="B1" s="29"/>
    </row>
    <row r="3" customFormat="false" ht="31.5" hidden="false" customHeight="true" outlineLevel="0" collapsed="false">
      <c r="A3" s="30" t="s">
        <v>32</v>
      </c>
      <c r="B3" s="18" t="s">
        <v>149</v>
      </c>
    </row>
    <row r="4" customFormat="false" ht="31.5" hidden="false" customHeight="true" outlineLevel="0" collapsed="false">
      <c r="A4" s="30" t="s">
        <v>33</v>
      </c>
      <c r="B4" s="21" t="s">
        <v>150</v>
      </c>
    </row>
    <row r="5" customFormat="false" ht="31.5" hidden="false" customHeight="true" outlineLevel="0" collapsed="false">
      <c r="A5" s="30" t="s">
        <v>34</v>
      </c>
      <c r="B5" s="18" t="s">
        <v>151</v>
      </c>
    </row>
    <row r="6" customFormat="false" ht="31.5" hidden="false" customHeight="true" outlineLevel="0" collapsed="false">
      <c r="A6" s="30" t="s">
        <v>35</v>
      </c>
      <c r="B6" s="21" t="s">
        <v>152</v>
      </c>
    </row>
    <row r="7" customFormat="false" ht="31.5" hidden="false" customHeight="true" outlineLevel="0" collapsed="false">
      <c r="A7" s="30" t="s">
        <v>16</v>
      </c>
      <c r="B7" s="18" t="s">
        <v>153</v>
      </c>
    </row>
    <row r="8" customFormat="false" ht="31.5" hidden="false" customHeight="true" outlineLevel="0" collapsed="false">
      <c r="A8" s="30" t="s">
        <v>36</v>
      </c>
      <c r="B8" s="21" t="s">
        <v>154</v>
      </c>
    </row>
    <row r="9" customFormat="false" ht="31.5" hidden="false" customHeight="true" outlineLevel="0" collapsed="false">
      <c r="A9" s="30" t="s">
        <v>155</v>
      </c>
      <c r="B9" s="18" t="s">
        <v>156</v>
      </c>
    </row>
    <row r="10" customFormat="false" ht="31.5" hidden="false" customHeight="true" outlineLevel="0" collapsed="false">
      <c r="A10" s="30" t="s">
        <v>38</v>
      </c>
      <c r="B10" s="21" t="s">
        <v>157</v>
      </c>
    </row>
    <row r="11" customFormat="false" ht="31.5" hidden="false" customHeight="true" outlineLevel="0" collapsed="false">
      <c r="A11" s="30" t="s">
        <v>39</v>
      </c>
      <c r="B11" s="18" t="s">
        <v>158</v>
      </c>
    </row>
    <row r="12" customFormat="false" ht="31.5" hidden="false" customHeight="true" outlineLevel="0" collapsed="false">
      <c r="A12" s="30" t="s">
        <v>40</v>
      </c>
      <c r="B12" s="21" t="s">
        <v>159</v>
      </c>
    </row>
    <row r="14" customFormat="false" ht="18" hidden="false" customHeight="true" outlineLevel="0" collapsed="false"/>
    <row r="15" customFormat="false" ht="21.75" hidden="false" customHeight="true" outlineLevel="0" collapsed="false">
      <c r="A15" s="6" t="s">
        <v>160</v>
      </c>
      <c r="B15" s="6"/>
    </row>
    <row r="16" customFormat="false" ht="27.75" hidden="false" customHeight="true" outlineLevel="0" collapsed="false">
      <c r="A16" s="31" t="s">
        <v>161</v>
      </c>
      <c r="B16" s="32" t="s">
        <v>162</v>
      </c>
    </row>
    <row r="17" customFormat="false" ht="27.75" hidden="false" customHeight="true" outlineLevel="0" collapsed="false">
      <c r="A17" s="31" t="s">
        <v>163</v>
      </c>
      <c r="B17" s="32" t="s">
        <v>164</v>
      </c>
    </row>
    <row r="20" customFormat="false" ht="15.75" hidden="false" customHeight="true" outlineLevel="0" collapsed="false">
      <c r="A20" s="15" t="s">
        <v>165</v>
      </c>
      <c r="B20" s="15"/>
    </row>
  </sheetData>
  <mergeCells count="3">
    <mergeCell ref="A1:B1"/>
    <mergeCell ref="A15:B15"/>
    <mergeCell ref="A20:B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2026-05-06T10:18:24Z</dcterms:created>
  <dc:creator>openpyxl</dc:creator>
  <dc:description/>
  <dc:language>en-US</dc:language>
  <cp:lastModifiedBy/>
  <dcterms:modified xsi:type="dcterms:W3CDTF">2026-05-06T10:18:24Z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
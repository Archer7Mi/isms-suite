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udit Details" sheetId="2" state="visible" r:id="rId4"/>
    <sheet name="Audit Checklist" sheetId="3" state="visible" r:id="rId5"/>
    <sheet name="NC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<sst xmlns="http://schemas.openxmlformats.org/spreadsheetml/2006/main" count="317" uniqueCount="274">
  <si>
    <t xml:space="preserve">STARK INDUSTRIES</t>
  </si>
  <si>
    <t xml:space="preserve">Internal Audit Checklist — ISO/IEC 27001:2022</t>
  </si>
  <si>
    <t xml:space="preserve">Document ID</t>
  </si>
  <si>
    <t xml:space="preserve">MS-ISMS-AUD-010</t>
  </si>
  <si>
    <t xml:space="preserve">Version</t>
  </si>
  <si>
    <t xml:space="preserve">1.0</t>
  </si>
  <si>
    <t xml:space="preserve">Document Owner</t>
  </si>
  <si>
    <t xml:space="preserve">Stark Industries</t>
  </si>
  <si>
    <t xml:space="preserve">Prepared by</t>
  </si>
  <si>
    <t xml:space="preserve">Michael's Security</t>
  </si>
  <si>
    <t xml:space="preserve">Standard</t>
  </si>
  <si>
    <t xml:space="preserve">ISO/IEC 27001:2022 — Clauses 4 to 10</t>
  </si>
  <si>
    <t xml:space="preserve">Applicable Regulation</t>
  </si>
  <si>
    <t xml:space="preserve">Kenya Data Protection Act 2019</t>
  </si>
  <si>
    <t xml:space="preserve">Classification</t>
  </si>
  <si>
    <t xml:space="preserve">Confidential</t>
  </si>
  <si>
    <t xml:space="preserve">Effective Date</t>
  </si>
  <si>
    <t xml:space="preserve">May 2026</t>
  </si>
  <si>
    <t xml:space="preserve">Next Review</t>
  </si>
  <si>
    <t xml:space="preserve">May 2027</t>
  </si>
  <si>
    <t xml:space="preserve">Audit Cycle</t>
  </si>
  <si>
    <t xml:space="preserve">Annual minimum</t>
  </si>
  <si>
    <t xml:space="preserve">Non-Conformity Classification</t>
  </si>
  <si>
    <t xml:space="preserve">Major NC</t>
  </si>
  <si>
    <t xml:space="preserve">ISMS requirement not implemented; significant gap; certification risk.</t>
  </si>
  <si>
    <t xml:space="preserve">Minor NC</t>
  </si>
  <si>
    <t xml:space="preserve">Partial implementation or isolated lapse; corrective action required.</t>
  </si>
  <si>
    <t xml:space="preserve">Observation</t>
  </si>
  <si>
    <t xml:space="preserve">No non-conformity; improvement opportunity noted for consideration.</t>
  </si>
  <si>
    <t xml:space="preserve">Compliant</t>
  </si>
  <si>
    <t xml:space="preserve">Requirement fully met; evidence reviewed and sufficient.</t>
  </si>
  <si>
    <t xml:space="preserve">Prepared by Michael's Security  •  ISO/IEC 27001:2022  •  MS-ISMS-AUD-010</t>
  </si>
  <si>
    <t xml:space="preserve">AUDIT DETAILS — Complete before commencing audit</t>
  </si>
  <si>
    <t xml:space="preserve">Audit Reference Number</t>
  </si>
  <si>
    <t xml:space="preserve">Audit Type</t>
  </si>
  <si>
    <t xml:space="preserve">Internal / External / Surveillance (delete as applicable)</t>
  </si>
  <si>
    <t xml:space="preserve">Audit Scope</t>
  </si>
  <si>
    <t xml:space="preserve">Audit Start Date</t>
  </si>
  <si>
    <t xml:space="preserve">Audit End Date</t>
  </si>
  <si>
    <t xml:space="preserve">Lead Auditor</t>
  </si>
  <si>
    <t xml:space="preserve">Supporting Auditor(s)</t>
  </si>
  <si>
    <t xml:space="preserve">Auditee Organisation</t>
  </si>
  <si>
    <t xml:space="preserve">Auditee Contact</t>
  </si>
  <si>
    <t xml:space="preserve">MSSP Observer</t>
  </si>
  <si>
    <t xml:space="preserve">Previous Audit Date</t>
  </si>
  <si>
    <t xml:space="preserve">Previous Audit NC Count (Major / Minor)</t>
  </si>
  <si>
    <t xml:space="preserve">Audit Objectives</t>
  </si>
  <si>
    <t xml:space="preserve">Verify conformity with ISO/IEC 27001:2022; assess ISMS effectiveness</t>
  </si>
  <si>
    <t xml:space="preserve">Criteria</t>
  </si>
  <si>
    <t xml:space="preserve">ISO/IEC 27001:2022; Kenya DPA 2019; Stark Industries ISMS policies</t>
  </si>
  <si>
    <t xml:space="preserve">Distribution List</t>
  </si>
  <si>
    <t xml:space="preserve">CISO, CEO, Michael's Security</t>
  </si>
  <si>
    <t xml:space="preserve">STARK INDUSTRIES  —  Internal Audit Checklist  |  ISO/IEC 27001:2022 Clauses 4–10  |  MS-ISMS-AUD-010</t>
  </si>
  <si>
    <t xml:space="preserve">Ref</t>
  </si>
  <si>
    <t xml:space="preserve">Clause</t>
  </si>
  <si>
    <t xml:space="preserve">Audit Question / Requirement</t>
  </si>
  <si>
    <t xml:space="preserve">Evidence Required</t>
  </si>
  <si>
    <t xml:space="preserve">Result</t>
  </si>
  <si>
    <t xml:space="preserve">NC Class</t>
  </si>
  <si>
    <t xml:space="preserve">Findings / Notes</t>
  </si>
  <si>
    <t xml:space="preserve">  CONTEXT OF THE ORGANISATION</t>
  </si>
  <si>
    <t xml:space="preserve">4.1</t>
  </si>
  <si>
    <t xml:space="preserve">Has the organisation determined external and internal issues relevant to its purpose that affect its ability to achieve ISMS objectives?</t>
  </si>
  <si>
    <t xml:space="preserve">Issues register or equivalent documentation; management review minutes</t>
  </si>
  <si>
    <t xml:space="preserve">4.2</t>
  </si>
  <si>
    <t xml:space="preserve">Are external issues documented (regulatory environment, technology landscape, competitive environment, KDPA 2019 obligations)?</t>
  </si>
  <si>
    <t xml:space="preserve">Documentation of external context analysis</t>
  </si>
  <si>
    <t xml:space="preserve">4.3</t>
  </si>
  <si>
    <t xml:space="preserve">Has the organisation identified interested parties (regulators, clients, staff, MSSP) and their requirements?</t>
  </si>
  <si>
    <t xml:space="preserve">Interested parties register or equivalent</t>
  </si>
  <si>
    <t xml:space="preserve">4.4</t>
  </si>
  <si>
    <t xml:space="preserve">Are the requirements of interested parties that are relevant to the ISMS identified and reviewed?</t>
  </si>
  <si>
    <t xml:space="preserve">Requirements documented and reviewed at management review</t>
  </si>
  <si>
    <t xml:space="preserve">4.5</t>
  </si>
  <si>
    <t xml:space="preserve">Is the ISMS scope formally defined and documented, including boundaries and applicability?</t>
  </si>
  <si>
    <t xml:space="preserve">ISMS Scope Statement; Statement of Applicability (MS-ISMS-SOA-003)</t>
  </si>
  <si>
    <t xml:space="preserve">4.6</t>
  </si>
  <si>
    <t xml:space="preserve">Does the scope consider external and internal issues, interested party requirements, and interfaces?</t>
  </si>
  <si>
    <t xml:space="preserve">Scope justification documented; exclusions justified in SoA</t>
  </si>
  <si>
    <t xml:space="preserve">4.7</t>
  </si>
  <si>
    <t xml:space="preserve">Is an ISMS established, implemented, maintained, and continually improved?</t>
  </si>
  <si>
    <t xml:space="preserve">ISMS policy set; risk assessment records; audit and review evidence</t>
  </si>
  <si>
    <t xml:space="preserve">  LEADERSHIP</t>
  </si>
  <si>
    <t xml:space="preserve">5.1</t>
  </si>
  <si>
    <t xml:space="preserve">Does top management demonstrate leadership and commitment to the ISMS?</t>
  </si>
  <si>
    <t xml:space="preserve">Management review minutes; signed policy approvals; resource allocation evidence</t>
  </si>
  <si>
    <t xml:space="preserve">5.2</t>
  </si>
  <si>
    <t xml:space="preserve">Has top management established an information security policy appropriate to the organisation?</t>
  </si>
  <si>
    <t xml:space="preserve">Information Security Policy (MS-ISMS-POL-001) — signed and dated by management</t>
  </si>
  <si>
    <t xml:space="preserve">5.3</t>
  </si>
  <si>
    <t xml:space="preserve">Are information security roles, responsibilities, and authorities assigned and communicated?</t>
  </si>
  <si>
    <t xml:space="preserve">RACI / roles table in IS Policy; job descriptions; org chart</t>
  </si>
  <si>
    <t xml:space="preserve">5.4</t>
  </si>
  <si>
    <t xml:space="preserve">Is accountability for ISMS performance assigned to an appropriate role (CISO or equivalent)?</t>
  </si>
  <si>
    <t xml:space="preserve">Named individual with documented responsibility; evidence of ISMS oversight</t>
  </si>
  <si>
    <t xml:space="preserve">  PLANNING</t>
  </si>
  <si>
    <t xml:space="preserve">6.1</t>
  </si>
  <si>
    <t xml:space="preserve">6.1.1</t>
  </si>
  <si>
    <t xml:space="preserve">Has the organisation determined risks and opportunities that need to be addressed?</t>
  </si>
  <si>
    <t xml:space="preserve">Risk Assessment &amp; Treatment Methodology (MS-ISMS-RISK-002)</t>
  </si>
  <si>
    <t xml:space="preserve">6.2</t>
  </si>
  <si>
    <t xml:space="preserve">6.1.2</t>
  </si>
  <si>
    <t xml:space="preserve">Is there a formal information security risk assessment process with defined criteria?</t>
  </si>
  <si>
    <t xml:space="preserve">Risk Assessment Methodology; risk register with likelihood/impact ratings</t>
  </si>
  <si>
    <t xml:space="preserve">6.3</t>
  </si>
  <si>
    <t xml:space="preserve">Are risk owners assigned for each identified risk?</t>
  </si>
  <si>
    <t xml:space="preserve">Risk Register (MS-ISMS-RISK-002) — Owner column populated</t>
  </si>
  <si>
    <t xml:space="preserve">6.4</t>
  </si>
  <si>
    <t xml:space="preserve">6.1.3</t>
  </si>
  <si>
    <t xml:space="preserve">Has a risk treatment plan been produced selecting appropriate controls?</t>
  </si>
  <si>
    <t xml:space="preserve">Risk treatment decisions documented; SoA (MS-ISMS-SOA-003) aligned</t>
  </si>
  <si>
    <t xml:space="preserve">6.5</t>
  </si>
  <si>
    <t xml:space="preserve">Is the Statement of Applicability complete with justifications for all included/excluded controls?</t>
  </si>
  <si>
    <t xml:space="preserve">SoA (MS-ISMS-SOA-003) — all 93 Annex A controls addressed</t>
  </si>
  <si>
    <t xml:space="preserve">6.6</t>
  </si>
  <si>
    <t xml:space="preserve">Has the risk treatment plan been approved by risk owners?</t>
  </si>
  <si>
    <t xml:space="preserve">Signed risk treatment plan or documented approval in risk register</t>
  </si>
  <si>
    <t xml:space="preserve">6.7</t>
  </si>
  <si>
    <t xml:space="preserve">Are information security objectives established and documented?</t>
  </si>
  <si>
    <t xml:space="preserve">IS Policy (MS-ISMS-POL-001) Section 3; ISMS objectives register</t>
  </si>
  <si>
    <t xml:space="preserve">6.8</t>
  </si>
  <si>
    <t xml:space="preserve">Are objectives measurable, monitored, and communicated to relevant staff?</t>
  </si>
  <si>
    <t xml:space="preserve">KPIs or metrics; management review evidence; communication records</t>
  </si>
  <si>
    <t xml:space="preserve">6.9</t>
  </si>
  <si>
    <t xml:space="preserve">Is there a process for managing changes to the ISMS in a planned manner?</t>
  </si>
  <si>
    <t xml:space="preserve">Change management procedure; change log</t>
  </si>
  <si>
    <t xml:space="preserve">  SUPPORT</t>
  </si>
  <si>
    <t xml:space="preserve">7.1</t>
  </si>
  <si>
    <t xml:space="preserve">Has the organisation determined and provided the resources needed for the ISMS?</t>
  </si>
  <si>
    <t xml:space="preserve">Budget evidence; staffing; MSSP contract (Michael's Security)</t>
  </si>
  <si>
    <t xml:space="preserve">7.2</t>
  </si>
  <si>
    <t xml:space="preserve">Are ISMS personnel competent based on appropriate education, training, and experience?</t>
  </si>
  <si>
    <t xml:space="preserve">CVs; training records; certifications (e.g., ISO 27001 Lead Auditor)</t>
  </si>
  <si>
    <t xml:space="preserve">7.3</t>
  </si>
  <si>
    <t xml:space="preserve">Are all relevant personnel aware of the IS policy, their contribution, and implications of non-conformance?</t>
  </si>
  <si>
    <t xml:space="preserve">Training completion records (MS-ISMS-TRAIN-009); awareness records</t>
  </si>
  <si>
    <t xml:space="preserve">7.4</t>
  </si>
  <si>
    <t xml:space="preserve">Has the organisation determined internal and external communication needs relevant to the ISMS?</t>
  </si>
  <si>
    <t xml:space="preserve">Communication plan or equivalent; management review agenda</t>
  </si>
  <si>
    <t xml:space="preserve">7.5</t>
  </si>
  <si>
    <t xml:space="preserve">Are ISMS documents controlled, available, and protected appropriately?</t>
  </si>
  <si>
    <t xml:space="preserve">Document management procedure; version control evidence; access controls on documents</t>
  </si>
  <si>
    <t xml:space="preserve">7.6</t>
  </si>
  <si>
    <t xml:space="preserve">7.5.2</t>
  </si>
  <si>
    <t xml:space="preserve">Is there a process for creating and updating documented information?</t>
  </si>
  <si>
    <t xml:space="preserve">Document creation and review process; approval records</t>
  </si>
  <si>
    <t xml:space="preserve">7.7</t>
  </si>
  <si>
    <t xml:space="preserve">7.5.3</t>
  </si>
  <si>
    <t xml:space="preserve">Is documented information protected from loss, unauthorised use, or modification?</t>
  </si>
  <si>
    <t xml:space="preserve">Access controls; backup procedures (MS-ISMS-BCP-007)</t>
  </si>
  <si>
    <t xml:space="preserve">  OPERATION</t>
  </si>
  <si>
    <t xml:space="preserve">8.1</t>
  </si>
  <si>
    <t xml:space="preserve">Are operational plans and controls implemented to meet ISMS requirements?</t>
  </si>
  <si>
    <t xml:space="preserve">Policy documents; technical controls evidence; configuration baselines</t>
  </si>
  <si>
    <t xml:space="preserve">8.2</t>
  </si>
  <si>
    <t xml:space="preserve">Are outsourced processes controlled appropriately?</t>
  </si>
  <si>
    <t xml:space="preserve">Supplier Security Policy (MS-ISMS-SUP-008); contracts; supplier assessments</t>
  </si>
  <si>
    <t xml:space="preserve">8.3</t>
  </si>
  <si>
    <t xml:space="preserve">Is the risk assessment performed at planned intervals or when significant changes occur?</t>
  </si>
  <si>
    <t xml:space="preserve">Risk assessment records with dates; triggered assessment evidence</t>
  </si>
  <si>
    <t xml:space="preserve">8.4</t>
  </si>
  <si>
    <t xml:space="preserve">Is the risk treatment plan implemented?</t>
  </si>
  <si>
    <t xml:space="preserve">Risk Register (MS-ISMS-RISK-002); control implementation evidence</t>
  </si>
  <si>
    <t xml:space="preserve">  PERFORMANCE EVALUATION</t>
  </si>
  <si>
    <t xml:space="preserve">9.1</t>
  </si>
  <si>
    <t xml:space="preserve">Does the organisation monitor, measure, analyse, and evaluate ISMS performance?</t>
  </si>
  <si>
    <t xml:space="preserve">Security metrics; KPI dashboards; MSSP reports from Michael's Security</t>
  </si>
  <si>
    <t xml:space="preserve">9.2</t>
  </si>
  <si>
    <t xml:space="preserve">Has the organisation determined what needs to be monitored and measured?</t>
  </si>
  <si>
    <t xml:space="preserve">Monitoring and measurement plan; metrics defined and tracked</t>
  </si>
  <si>
    <t xml:space="preserve">9.3</t>
  </si>
  <si>
    <t xml:space="preserve">Are monitoring results analysed and evaluated?</t>
  </si>
  <si>
    <t xml:space="preserve">Analysis reports; management review inputs</t>
  </si>
  <si>
    <t xml:space="preserve">9.4</t>
  </si>
  <si>
    <t xml:space="preserve">Is an internal audit programme established and implemented?</t>
  </si>
  <si>
    <t xml:space="preserve">Audit schedule; this checklist; prior audit reports</t>
  </si>
  <si>
    <t xml:space="preserve">9.5</t>
  </si>
  <si>
    <t xml:space="preserve">Are auditors selected to ensure objectivity and impartiality?</t>
  </si>
  <si>
    <t xml:space="preserve">Auditor assignment records; conflict of interest declarations</t>
  </si>
  <si>
    <t xml:space="preserve">9.6</t>
  </si>
  <si>
    <t xml:space="preserve">Are audit results reported to relevant management?</t>
  </si>
  <si>
    <t xml:space="preserve">Audit reports; distribution evidence; management review agenda</t>
  </si>
  <si>
    <t xml:space="preserve">9.7</t>
  </si>
  <si>
    <t xml:space="preserve">Does top management conduct management reviews at planned intervals?</t>
  </si>
  <si>
    <t xml:space="preserve">Management review meeting minutes; review inputs and outputs documented</t>
  </si>
  <si>
    <t xml:space="preserve">9.8</t>
  </si>
  <si>
    <t xml:space="preserve">Do management reviews consider audit results, risk assessment outcomes, and improvement opportunities?</t>
  </si>
  <si>
    <t xml:space="preserve">Management review minutes covering all required inputs (Clause 9.3)</t>
  </si>
  <si>
    <t xml:space="preserve">  IMPROVEMENT</t>
  </si>
  <si>
    <t xml:space="preserve">10.1</t>
  </si>
  <si>
    <t xml:space="preserve">Does the organisation continually improve the ISMS?</t>
  </si>
  <si>
    <t xml:space="preserve">Evidence of improvements implemented; management review outputs</t>
  </si>
  <si>
    <t xml:space="preserve">10.2</t>
  </si>
  <si>
    <t xml:space="preserve">When a non-conformity occurs, is corrective action taken and evaluated for effectiveness?</t>
  </si>
  <si>
    <t xml:space="preserve">NC log; corrective action records; root cause analysis evidence</t>
  </si>
  <si>
    <t xml:space="preserve">10.3</t>
  </si>
  <si>
    <t xml:space="preserve">Are non-conformities documented with causes identified and corrective actions tracked to closure?</t>
  </si>
  <si>
    <t xml:space="preserve">NC register; closure evidence; re-audit verification where required</t>
  </si>
  <si>
    <t xml:space="preserve">10.4</t>
  </si>
  <si>
    <t xml:space="preserve">Has the organisation reviewed the effectiveness of corrective actions?</t>
  </si>
  <si>
    <t xml:space="preserve">Follow-up audit or review records; NC closed status with effectiveness check</t>
  </si>
  <si>
    <t xml:space="preserve">  ANNEX A CONTROL SPOT-CHECKS (sample — refer to SoA MS-ISMS-SOA-003 for full list)</t>
  </si>
  <si>
    <t xml:space="preserve">A.1</t>
  </si>
  <si>
    <t xml:space="preserve">5.15</t>
  </si>
  <si>
    <t xml:space="preserve">Is access control implemented based on business and security requirements (least privilege)?</t>
  </si>
  <si>
    <t xml:space="preserve">Access Control Policy (MS-ISMS-ACP-006); user access review records</t>
  </si>
  <si>
    <t xml:space="preserve">A.2</t>
  </si>
  <si>
    <t xml:space="preserve">5.16</t>
  </si>
  <si>
    <t xml:space="preserve">Is user identity management implemented — unique IDs, provisioning/deprovisioning process?</t>
  </si>
  <si>
    <t xml:space="preserve">IT provisioning records; HR leaver process evidence; access logs</t>
  </si>
  <si>
    <t xml:space="preserve">A.3</t>
  </si>
  <si>
    <t xml:space="preserve">5.17</t>
  </si>
  <si>
    <t xml:space="preserve">Is authentication information managed securely — MFA deployed, password policy enforced?</t>
  </si>
  <si>
    <t xml:space="preserve">MFA configuration evidence; password policy (MS-ISMS-ACP-006)</t>
  </si>
  <si>
    <t xml:space="preserve">A.4</t>
  </si>
  <si>
    <t xml:space="preserve">5.24</t>
  </si>
  <si>
    <t xml:space="preserve">Are information security incident management responsibilities and procedures established?</t>
  </si>
  <si>
    <t xml:space="preserve">Incident Response Plan (MS-ISMS-IRP-005); incident log</t>
  </si>
  <si>
    <t xml:space="preserve">A.5</t>
  </si>
  <si>
    <t xml:space="preserve">5.25</t>
  </si>
  <si>
    <t xml:space="preserve">Is there a process to assess and classify information security incidents?</t>
  </si>
  <si>
    <t xml:space="preserve">IRP Section 3 (severity classification); incident log with ratings</t>
  </si>
  <si>
    <t xml:space="preserve">A.6</t>
  </si>
  <si>
    <t xml:space="preserve">5.26</t>
  </si>
  <si>
    <t xml:space="preserve">Are incidents responded to per documented procedures?</t>
  </si>
  <si>
    <t xml:space="preserve">Incident response records; containment and recovery evidence</t>
  </si>
  <si>
    <t xml:space="preserve">A.7</t>
  </si>
  <si>
    <t xml:space="preserve">5.27</t>
  </si>
  <si>
    <t xml:space="preserve">Are lessons learned from incidents used to improve controls?</t>
  </si>
  <si>
    <t xml:space="preserve">Post-incident review reports; IRP update records</t>
  </si>
  <si>
    <t xml:space="preserve">A.8</t>
  </si>
  <si>
    <t xml:space="preserve">5.29</t>
  </si>
  <si>
    <t xml:space="preserve">Is there a process for maintaining information security during disruption?</t>
  </si>
  <si>
    <t xml:space="preserve">Business Continuity Plan (MS-ISMS-BCP-007)</t>
  </si>
  <si>
    <t xml:space="preserve">A.9</t>
  </si>
  <si>
    <t xml:space="preserve">5.30</t>
  </si>
  <si>
    <t xml:space="preserve">Is ICT readiness for business continuity planned and tested?</t>
  </si>
  <si>
    <t xml:space="preserve">BCP test schedule; backup restoration test records</t>
  </si>
  <si>
    <t xml:space="preserve">A.10</t>
  </si>
  <si>
    <t xml:space="preserve">Is information security awareness, education, and training provided?</t>
  </si>
  <si>
    <t xml:space="preserve">Training Policy (MS-ISMS-TRAIN-009); completion records; phishing sim results</t>
  </si>
  <si>
    <t xml:space="preserve">A.11</t>
  </si>
  <si>
    <t xml:space="preserve">Are personnel competent for their information security roles?</t>
  </si>
  <si>
    <t xml:space="preserve">Training records; role-based training evidence; certifications</t>
  </si>
  <si>
    <t xml:space="preserve">A.12</t>
  </si>
  <si>
    <t xml:space="preserve">5.9</t>
  </si>
  <si>
    <t xml:space="preserve">Is there an inventory of information and associated assets?</t>
  </si>
  <si>
    <t xml:space="preserve">Asset Register (MS-ISMS-ASSET-004) — current, complete, reviewed</t>
  </si>
  <si>
    <t xml:space="preserve">A.13</t>
  </si>
  <si>
    <t xml:space="preserve">5.10</t>
  </si>
  <si>
    <t xml:space="preserve">Are rules for acceptable use of assets defined and implemented?</t>
  </si>
  <si>
    <t xml:space="preserve">IS Policy (MS-ISMS-POL-001) Section; AUP communicated to staff</t>
  </si>
  <si>
    <t xml:space="preserve">A.14</t>
  </si>
  <si>
    <t xml:space="preserve">5.19</t>
  </si>
  <si>
    <t xml:space="preserve">Are supplier relationships managed to address security risks?</t>
  </si>
  <si>
    <t xml:space="preserve">Supplier Security Policy (MS-ISMS-SUP-008); supplier assessments</t>
  </si>
  <si>
    <t xml:space="preserve">A.15</t>
  </si>
  <si>
    <t xml:space="preserve">5.20</t>
  </si>
  <si>
    <t xml:space="preserve">Are security requirements addressed in supplier agreements?</t>
  </si>
  <si>
    <t xml:space="preserve">Supplier contracts with security clauses; DPAs in place (KDPA 2019)</t>
  </si>
  <si>
    <t xml:space="preserve">NON-CONFORMITY &amp; CORRECTIVE ACTION TRACKER  |  MS-ISMS-AUD-010</t>
  </si>
  <si>
    <t xml:space="preserve">NC ID</t>
  </si>
  <si>
    <t xml:space="preserve">Clause Ref</t>
  </si>
  <si>
    <t xml:space="preserve">Non-Conformity Description</t>
  </si>
  <si>
    <t xml:space="preserve">Root Cause</t>
  </si>
  <si>
    <t xml:space="preserve">Corrective Action</t>
  </si>
  <si>
    <t xml:space="preserve">Owner</t>
  </si>
  <si>
    <t xml:space="preserve">Target Date</t>
  </si>
  <si>
    <t xml:space="preserve">Status</t>
  </si>
  <si>
    <t xml:space="preserve">NC Summary</t>
  </si>
  <si>
    <t xml:space="preserve">Major NCs</t>
  </si>
  <si>
    <t xml:space="preserve">Minor NCs</t>
  </si>
  <si>
    <t xml:space="preserve">Observations</t>
  </si>
  <si>
    <t xml:space="preserve">Open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</si>
</sst>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44444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7D4F00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b val="true"/>
      <sz val="11"/>
      <color rgb="FF7B0000"/>
      <name val="Arial"/>
      <family val="0"/>
      <charset val="1"/>
    </font>
    <font>
      <b val="true"/>
      <sz val="11"/>
      <color rgb="FF7D4F00"/>
      <name val="Arial"/>
      <family val="0"/>
      <charset val="1"/>
    </font>
    <font>
      <b val="true"/>
      <sz val="11"/>
      <color rgb="FF274E1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E8B84B"/>
        <bgColor rgb="FFFF9900"/>
      </patternFill>
    </fill>
    <fill>
      <patternFill patternType="solid">
        <fgColor rgb="FFD6E4F0"/>
        <bgColor rgb="FFD9EAD3"/>
      </patternFill>
    </fill>
    <fill>
      <patternFill patternType="solid">
        <fgColor rgb="FFF4CCCC"/>
        <bgColor rgb="FFD6E4F0"/>
      </patternFill>
    </fill>
    <fill>
      <patternFill patternType="solid">
        <fgColor rgb="FFFFF2CC"/>
        <bgColor rgb="FFF5F5F5"/>
      </patternFill>
    </fill>
    <fill>
      <patternFill patternType="solid">
        <fgColor rgb="FFD9EAD3"/>
        <bgColor rgb="FFD6E4F0"/>
      </patternFill>
    </fill>
    <fill>
      <patternFill patternType="solid">
        <fgColor rgb="FFF5F5F5"/>
        <bgColor rgb="FFEEF2F7"/>
      </patternFill>
    </fill>
    <fill>
      <patternFill patternType="solid">
        <fgColor rgb="FFEEF2F7"/>
        <bgColor rgb="FFF5F5F5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9000C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EEF2F7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E8B84B"/>
      <rgbColor rgb="FFFF9900"/>
      <rgbColor rgb="FFFF6600"/>
      <rgbColor rgb="FF666699"/>
      <rgbColor rgb="FF969696"/>
      <rgbColor rgb="FF1F3864"/>
      <rgbColor rgb="FF339966"/>
      <rgbColor rgb="FF003300"/>
      <rgbColor rgb="FF274E13"/>
      <rgbColor rgb="FF7D4F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</cols>
  <sheetData>
    <row r="1" customFormat="false" ht="39.7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/>
    </row>
    <row r="3" customFormat="false" ht="4.5" hidden="false" customHeight="true" outlineLevel="0" collapsed="false">
      <c r="A3" s="3"/>
      <c r="B3" s="3"/>
    </row>
    <row r="4" customFormat="false" ht="12" hidden="false" customHeight="true" outlineLevel="0" collapsed="false"/>
    <row r="5" customFormat="false" ht="21.75" hidden="false" customHeight="true" outlineLevel="0" collapsed="false">
      <c r="A5" s="4" t="s">
        <v>2</v>
      </c>
      <c r="B5" s="5" t="s">
        <v>3</v>
      </c>
    </row>
    <row r="6" customFormat="false" ht="21.75" hidden="false" customHeight="true" outlineLevel="0" collapsed="false">
      <c r="A6" s="4" t="s">
        <v>4</v>
      </c>
      <c r="B6" s="5" t="s">
        <v>5</v>
      </c>
    </row>
    <row r="7" customFormat="false" ht="21.75" hidden="false" customHeight="true" outlineLevel="0" collapsed="false">
      <c r="A7" s="4" t="s">
        <v>6</v>
      </c>
      <c r="B7" s="5" t="s">
        <v>7</v>
      </c>
    </row>
    <row r="8" customFormat="false" ht="21.75" hidden="false" customHeight="true" outlineLevel="0" collapsed="false">
      <c r="A8" s="4" t="s">
        <v>8</v>
      </c>
      <c r="B8" s="5" t="s">
        <v>9</v>
      </c>
    </row>
    <row r="9" customFormat="false" ht="21.75" hidden="false" customHeight="true" outlineLevel="0" collapsed="false">
      <c r="A9" s="4" t="s">
        <v>10</v>
      </c>
      <c r="B9" s="5" t="s">
        <v>11</v>
      </c>
    </row>
    <row r="10" customFormat="false" ht="21.75" hidden="false" customHeight="true" outlineLevel="0" collapsed="false">
      <c r="A10" s="4" t="s">
        <v>12</v>
      </c>
      <c r="B10" s="5" t="s">
        <v>13</v>
      </c>
    </row>
    <row r="11" customFormat="false" ht="21.75" hidden="false" customHeight="true" outlineLevel="0" collapsed="false">
      <c r="A11" s="4" t="s">
        <v>14</v>
      </c>
      <c r="B11" s="5" t="s">
        <v>15</v>
      </c>
    </row>
    <row r="12" customFormat="false" ht="21.75" hidden="false" customHeight="true" outlineLevel="0" collapsed="false">
      <c r="A12" s="4" t="s">
        <v>16</v>
      </c>
      <c r="B12" s="5" t="s">
        <v>17</v>
      </c>
    </row>
    <row r="13" customFormat="false" ht="21.75" hidden="false" customHeight="true" outlineLevel="0" collapsed="false">
      <c r="A13" s="4" t="s">
        <v>18</v>
      </c>
      <c r="B13" s="5" t="s">
        <v>19</v>
      </c>
    </row>
    <row r="14" customFormat="false" ht="21.75" hidden="false" customHeight="true" outlineLevel="0" collapsed="false">
      <c r="A14" s="4" t="s">
        <v>20</v>
      </c>
      <c r="B14" s="5" t="s">
        <v>21</v>
      </c>
    </row>
    <row r="16" customFormat="false" ht="13.5" hidden="false" customHeight="true" outlineLevel="0" collapsed="false"/>
    <row r="17" customFormat="false" ht="21.75" hidden="false" customHeight="true" outlineLevel="0" collapsed="false">
      <c r="A17" s="6" t="s">
        <v>22</v>
      </c>
      <c r="B17" s="6"/>
    </row>
    <row r="18" customFormat="false" ht="25.5" hidden="false" customHeight="true" outlineLevel="0" collapsed="false">
      <c r="A18" s="7" t="s">
        <v>23</v>
      </c>
      <c r="B18" s="8" t="s">
        <v>24</v>
      </c>
    </row>
    <row r="19" customFormat="false" ht="25.5" hidden="false" customHeight="true" outlineLevel="0" collapsed="false">
      <c r="A19" s="9" t="s">
        <v>25</v>
      </c>
      <c r="B19" s="10" t="s">
        <v>26</v>
      </c>
    </row>
    <row r="20" customFormat="false" ht="25.5" hidden="false" customHeight="true" outlineLevel="0" collapsed="false">
      <c r="A20" s="11" t="s">
        <v>27</v>
      </c>
      <c r="B20" s="12" t="s">
        <v>28</v>
      </c>
    </row>
    <row r="21" customFormat="false" ht="25.5" hidden="false" customHeight="true" outlineLevel="0" collapsed="false">
      <c r="A21" s="11" t="s">
        <v>29</v>
      </c>
      <c r="B21" s="12" t="s">
        <v>30</v>
      </c>
    </row>
    <row r="23" customFormat="false" ht="15.75" hidden="false" customHeight="true" outlineLevel="0" collapsed="false">
      <c r="A23" s="13" t="s">
        <v>31</v>
      </c>
      <c r="B23" s="13"/>
    </row>
  </sheetData>
  <mergeCells count="5">
    <mergeCell ref="A1:B1"/>
    <mergeCell ref="A2:B2"/>
    <mergeCell ref="A3:B3"/>
    <mergeCell ref="A17:B1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27.75" hidden="false" customHeight="true" outlineLevel="0" collapsed="false">
      <c r="A1" s="14" t="s">
        <v>32</v>
      </c>
      <c r="B1" s="14"/>
    </row>
    <row r="3" customFormat="false" ht="24" hidden="false" customHeight="true" outlineLevel="0" collapsed="false">
      <c r="A3" s="15" t="s">
        <v>33</v>
      </c>
      <c r="B3" s="16"/>
    </row>
    <row r="4" customFormat="false" ht="24" hidden="false" customHeight="true" outlineLevel="0" collapsed="false">
      <c r="A4" s="15" t="s">
        <v>34</v>
      </c>
      <c r="B4" s="17" t="s">
        <v>35</v>
      </c>
    </row>
    <row r="5" customFormat="false" ht="24" hidden="false" customHeight="true" outlineLevel="0" collapsed="false">
      <c r="A5" s="15" t="s">
        <v>36</v>
      </c>
      <c r="B5" s="16"/>
    </row>
    <row r="6" customFormat="false" ht="24" hidden="false" customHeight="true" outlineLevel="0" collapsed="false">
      <c r="A6" s="15" t="s">
        <v>37</v>
      </c>
      <c r="B6" s="16"/>
    </row>
    <row r="7" customFormat="false" ht="24" hidden="false" customHeight="true" outlineLevel="0" collapsed="false">
      <c r="A7" s="15" t="s">
        <v>38</v>
      </c>
      <c r="B7" s="16"/>
    </row>
    <row r="8" customFormat="false" ht="24" hidden="false" customHeight="true" outlineLevel="0" collapsed="false">
      <c r="A8" s="15" t="s">
        <v>39</v>
      </c>
      <c r="B8" s="16"/>
    </row>
    <row r="9" customFormat="false" ht="24" hidden="false" customHeight="true" outlineLevel="0" collapsed="false">
      <c r="A9" s="15" t="s">
        <v>40</v>
      </c>
      <c r="B9" s="16"/>
    </row>
    <row r="10" customFormat="false" ht="24" hidden="false" customHeight="true" outlineLevel="0" collapsed="false">
      <c r="A10" s="15" t="s">
        <v>41</v>
      </c>
      <c r="B10" s="17" t="s">
        <v>7</v>
      </c>
    </row>
    <row r="11" customFormat="false" ht="24" hidden="false" customHeight="true" outlineLevel="0" collapsed="false">
      <c r="A11" s="15" t="s">
        <v>42</v>
      </c>
      <c r="B11" s="16"/>
    </row>
    <row r="12" customFormat="false" ht="24" hidden="false" customHeight="true" outlineLevel="0" collapsed="false">
      <c r="A12" s="15" t="s">
        <v>43</v>
      </c>
      <c r="B12" s="17" t="s">
        <v>9</v>
      </c>
    </row>
    <row r="13" customFormat="false" ht="24" hidden="false" customHeight="true" outlineLevel="0" collapsed="false">
      <c r="A13" s="15" t="s">
        <v>44</v>
      </c>
      <c r="B13" s="16"/>
    </row>
    <row r="14" customFormat="false" ht="24" hidden="false" customHeight="true" outlineLevel="0" collapsed="false">
      <c r="A14" s="15" t="s">
        <v>45</v>
      </c>
      <c r="B14" s="16"/>
    </row>
    <row r="15" customFormat="false" ht="24" hidden="false" customHeight="true" outlineLevel="0" collapsed="false">
      <c r="A15" s="15" t="s">
        <v>46</v>
      </c>
      <c r="B15" s="17" t="s">
        <v>47</v>
      </c>
    </row>
    <row r="16" customFormat="false" ht="24" hidden="false" customHeight="true" outlineLevel="0" collapsed="false">
      <c r="A16" s="15" t="s">
        <v>48</v>
      </c>
      <c r="B16" s="17" t="s">
        <v>49</v>
      </c>
    </row>
    <row r="17" customFormat="false" ht="24" hidden="false" customHeight="true" outlineLevel="0" collapsed="false">
      <c r="A17" s="15" t="s">
        <v>50</v>
      </c>
      <c r="B17" s="17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G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8" t="s">
        <v>52</v>
      </c>
      <c r="B1" s="18"/>
      <c r="C1" s="18"/>
      <c r="D1" s="18"/>
      <c r="E1" s="18"/>
      <c r="F1" s="18"/>
      <c r="G1" s="18"/>
    </row>
    <row r="2" customFormat="false" ht="31.5" hidden="false" customHeight="true" outlineLevel="0" collapsed="false">
      <c r="A2" s="19" t="s">
        <v>53</v>
      </c>
      <c r="B2" s="19" t="s">
        <v>54</v>
      </c>
      <c r="C2" s="19" t="s">
        <v>55</v>
      </c>
      <c r="D2" s="19" t="s">
        <v>56</v>
      </c>
      <c r="E2" s="19" t="s">
        <v>57</v>
      </c>
      <c r="F2" s="19" t="s">
        <v>58</v>
      </c>
      <c r="G2" s="19" t="s">
        <v>59</v>
      </c>
    </row>
    <row r="3" customFormat="false" ht="42" hidden="false" customHeight="true" outlineLevel="0" collapsed="false">
      <c r="A3" s="20" t="s">
        <v>60</v>
      </c>
      <c r="B3" s="20"/>
      <c r="C3" s="20"/>
      <c r="D3" s="20"/>
      <c r="E3" s="20"/>
      <c r="F3" s="20"/>
      <c r="G3" s="20"/>
    </row>
    <row r="4" customFormat="false" ht="37.5" hidden="false" customHeight="true" outlineLevel="0" collapsed="false">
      <c r="A4" s="21" t="s">
        <v>61</v>
      </c>
      <c r="B4" s="21" t="s">
        <v>61</v>
      </c>
      <c r="C4" s="16" t="s">
        <v>62</v>
      </c>
      <c r="D4" s="16" t="s">
        <v>63</v>
      </c>
      <c r="E4" s="22"/>
      <c r="F4" s="22"/>
      <c r="G4" s="16"/>
    </row>
    <row r="5" customFormat="false" ht="37.5" hidden="false" customHeight="true" outlineLevel="0" collapsed="false">
      <c r="A5" s="21" t="s">
        <v>64</v>
      </c>
      <c r="B5" s="21" t="s">
        <v>61</v>
      </c>
      <c r="C5" s="23" t="s">
        <v>65</v>
      </c>
      <c r="D5" s="23" t="s">
        <v>66</v>
      </c>
      <c r="E5" s="24"/>
      <c r="F5" s="24"/>
      <c r="G5" s="23"/>
    </row>
    <row r="6" customFormat="false" ht="37.5" hidden="false" customHeight="true" outlineLevel="0" collapsed="false">
      <c r="A6" s="21" t="s">
        <v>67</v>
      </c>
      <c r="B6" s="21" t="s">
        <v>64</v>
      </c>
      <c r="C6" s="16" t="s">
        <v>68</v>
      </c>
      <c r="D6" s="16" t="s">
        <v>69</v>
      </c>
      <c r="E6" s="22"/>
      <c r="F6" s="22"/>
      <c r="G6" s="16"/>
    </row>
    <row r="7" customFormat="false" ht="37.5" hidden="false" customHeight="true" outlineLevel="0" collapsed="false">
      <c r="A7" s="21" t="s">
        <v>70</v>
      </c>
      <c r="B7" s="21" t="s">
        <v>64</v>
      </c>
      <c r="C7" s="23" t="s">
        <v>71</v>
      </c>
      <c r="D7" s="23" t="s">
        <v>72</v>
      </c>
      <c r="E7" s="24"/>
      <c r="F7" s="24"/>
      <c r="G7" s="23"/>
    </row>
    <row r="8" customFormat="false" ht="37.5" hidden="false" customHeight="true" outlineLevel="0" collapsed="false">
      <c r="A8" s="21" t="s">
        <v>73</v>
      </c>
      <c r="B8" s="21" t="s">
        <v>67</v>
      </c>
      <c r="C8" s="16" t="s">
        <v>74</v>
      </c>
      <c r="D8" s="16" t="s">
        <v>75</v>
      </c>
      <c r="E8" s="22"/>
      <c r="F8" s="22"/>
      <c r="G8" s="16"/>
    </row>
    <row r="9" customFormat="false" ht="37.5" hidden="false" customHeight="true" outlineLevel="0" collapsed="false">
      <c r="A9" s="21" t="s">
        <v>76</v>
      </c>
      <c r="B9" s="21" t="s">
        <v>67</v>
      </c>
      <c r="C9" s="23" t="s">
        <v>77</v>
      </c>
      <c r="D9" s="23" t="s">
        <v>78</v>
      </c>
      <c r="E9" s="24"/>
      <c r="F9" s="24"/>
      <c r="G9" s="23"/>
    </row>
    <row r="10" customFormat="false" ht="37.5" hidden="false" customHeight="true" outlineLevel="0" collapsed="false">
      <c r="A10" s="21" t="s">
        <v>79</v>
      </c>
      <c r="B10" s="21" t="s">
        <v>70</v>
      </c>
      <c r="C10" s="16" t="s">
        <v>80</v>
      </c>
      <c r="D10" s="16" t="s">
        <v>81</v>
      </c>
      <c r="E10" s="22"/>
      <c r="F10" s="22"/>
      <c r="G10" s="16"/>
    </row>
    <row r="11" customFormat="false" ht="42" hidden="false" customHeight="true" outlineLevel="0" collapsed="false">
      <c r="A11" s="20" t="s">
        <v>82</v>
      </c>
      <c r="B11" s="20"/>
      <c r="C11" s="20"/>
      <c r="D11" s="20"/>
      <c r="E11" s="20"/>
      <c r="F11" s="20"/>
      <c r="G11" s="20"/>
    </row>
    <row r="12" customFormat="false" ht="37.5" hidden="false" customHeight="true" outlineLevel="0" collapsed="false">
      <c r="A12" s="21" t="s">
        <v>83</v>
      </c>
      <c r="B12" s="21" t="s">
        <v>83</v>
      </c>
      <c r="C12" s="16" t="s">
        <v>84</v>
      </c>
      <c r="D12" s="16" t="s">
        <v>85</v>
      </c>
      <c r="E12" s="22"/>
      <c r="F12" s="22"/>
      <c r="G12" s="16"/>
    </row>
    <row r="13" customFormat="false" ht="37.5" hidden="false" customHeight="true" outlineLevel="0" collapsed="false">
      <c r="A13" s="21" t="s">
        <v>86</v>
      </c>
      <c r="B13" s="21" t="s">
        <v>83</v>
      </c>
      <c r="C13" s="23" t="s">
        <v>87</v>
      </c>
      <c r="D13" s="23" t="s">
        <v>88</v>
      </c>
      <c r="E13" s="24"/>
      <c r="F13" s="24"/>
      <c r="G13" s="23"/>
    </row>
    <row r="14" customFormat="false" ht="37.5" hidden="false" customHeight="true" outlineLevel="0" collapsed="false">
      <c r="A14" s="21" t="s">
        <v>89</v>
      </c>
      <c r="B14" s="21" t="s">
        <v>86</v>
      </c>
      <c r="C14" s="16" t="s">
        <v>90</v>
      </c>
      <c r="D14" s="16" t="s">
        <v>91</v>
      </c>
      <c r="E14" s="22"/>
      <c r="F14" s="22"/>
      <c r="G14" s="16"/>
    </row>
    <row r="15" customFormat="false" ht="37.5" hidden="false" customHeight="true" outlineLevel="0" collapsed="false">
      <c r="A15" s="21" t="s">
        <v>92</v>
      </c>
      <c r="B15" s="21" t="s">
        <v>86</v>
      </c>
      <c r="C15" s="23" t="s">
        <v>93</v>
      </c>
      <c r="D15" s="23" t="s">
        <v>94</v>
      </c>
      <c r="E15" s="24"/>
      <c r="F15" s="24"/>
      <c r="G15" s="23"/>
    </row>
    <row r="16" customFormat="false" ht="42" hidden="false" customHeight="true" outlineLevel="0" collapsed="false">
      <c r="A16" s="20" t="s">
        <v>95</v>
      </c>
      <c r="B16" s="20"/>
      <c r="C16" s="20"/>
      <c r="D16" s="20"/>
      <c r="E16" s="20"/>
      <c r="F16" s="20"/>
      <c r="G16" s="20"/>
    </row>
    <row r="17" customFormat="false" ht="37.5" hidden="false" customHeight="true" outlineLevel="0" collapsed="false">
      <c r="A17" s="21" t="s">
        <v>96</v>
      </c>
      <c r="B17" s="21" t="s">
        <v>97</v>
      </c>
      <c r="C17" s="23" t="s">
        <v>98</v>
      </c>
      <c r="D17" s="23" t="s">
        <v>99</v>
      </c>
      <c r="E17" s="24"/>
      <c r="F17" s="24"/>
      <c r="G17" s="23"/>
    </row>
    <row r="18" customFormat="false" ht="37.5" hidden="false" customHeight="true" outlineLevel="0" collapsed="false">
      <c r="A18" s="21" t="s">
        <v>100</v>
      </c>
      <c r="B18" s="21" t="s">
        <v>101</v>
      </c>
      <c r="C18" s="16" t="s">
        <v>102</v>
      </c>
      <c r="D18" s="16" t="s">
        <v>103</v>
      </c>
      <c r="E18" s="22"/>
      <c r="F18" s="22"/>
      <c r="G18" s="16"/>
    </row>
    <row r="19" customFormat="false" ht="37.5" hidden="false" customHeight="true" outlineLevel="0" collapsed="false">
      <c r="A19" s="21" t="s">
        <v>104</v>
      </c>
      <c r="B19" s="21" t="s">
        <v>101</v>
      </c>
      <c r="C19" s="23" t="s">
        <v>105</v>
      </c>
      <c r="D19" s="23" t="s">
        <v>106</v>
      </c>
      <c r="E19" s="24"/>
      <c r="F19" s="24"/>
      <c r="G19" s="23"/>
    </row>
    <row r="20" customFormat="false" ht="37.5" hidden="false" customHeight="true" outlineLevel="0" collapsed="false">
      <c r="A20" s="21" t="s">
        <v>107</v>
      </c>
      <c r="B20" s="21" t="s">
        <v>108</v>
      </c>
      <c r="C20" s="16" t="s">
        <v>109</v>
      </c>
      <c r="D20" s="16" t="s">
        <v>110</v>
      </c>
      <c r="E20" s="22"/>
      <c r="F20" s="22"/>
      <c r="G20" s="16"/>
    </row>
    <row r="21" customFormat="false" ht="37.5" hidden="false" customHeight="true" outlineLevel="0" collapsed="false">
      <c r="A21" s="21" t="s">
        <v>111</v>
      </c>
      <c r="B21" s="21" t="s">
        <v>108</v>
      </c>
      <c r="C21" s="23" t="s">
        <v>112</v>
      </c>
      <c r="D21" s="23" t="s">
        <v>113</v>
      </c>
      <c r="E21" s="24"/>
      <c r="F21" s="24"/>
      <c r="G21" s="23"/>
    </row>
    <row r="22" customFormat="false" ht="37.5" hidden="false" customHeight="true" outlineLevel="0" collapsed="false">
      <c r="A22" s="21" t="s">
        <v>114</v>
      </c>
      <c r="B22" s="21" t="s">
        <v>108</v>
      </c>
      <c r="C22" s="16" t="s">
        <v>115</v>
      </c>
      <c r="D22" s="16" t="s">
        <v>116</v>
      </c>
      <c r="E22" s="22"/>
      <c r="F22" s="22"/>
      <c r="G22" s="16"/>
    </row>
    <row r="23" customFormat="false" ht="37.5" hidden="false" customHeight="true" outlineLevel="0" collapsed="false">
      <c r="A23" s="21" t="s">
        <v>117</v>
      </c>
      <c r="B23" s="21" t="s">
        <v>100</v>
      </c>
      <c r="C23" s="23" t="s">
        <v>118</v>
      </c>
      <c r="D23" s="23" t="s">
        <v>119</v>
      </c>
      <c r="E23" s="24"/>
      <c r="F23" s="24"/>
      <c r="G23" s="23"/>
    </row>
    <row r="24" customFormat="false" ht="37.5" hidden="false" customHeight="true" outlineLevel="0" collapsed="false">
      <c r="A24" s="21" t="s">
        <v>120</v>
      </c>
      <c r="B24" s="21" t="s">
        <v>100</v>
      </c>
      <c r="C24" s="16" t="s">
        <v>121</v>
      </c>
      <c r="D24" s="16" t="s">
        <v>122</v>
      </c>
      <c r="E24" s="22"/>
      <c r="F24" s="22"/>
      <c r="G24" s="16"/>
    </row>
    <row r="25" customFormat="false" ht="37.5" hidden="false" customHeight="true" outlineLevel="0" collapsed="false">
      <c r="A25" s="21" t="s">
        <v>123</v>
      </c>
      <c r="B25" s="21" t="s">
        <v>104</v>
      </c>
      <c r="C25" s="23" t="s">
        <v>124</v>
      </c>
      <c r="D25" s="23" t="s">
        <v>125</v>
      </c>
      <c r="E25" s="24"/>
      <c r="F25" s="24"/>
      <c r="G25" s="23"/>
    </row>
    <row r="26" customFormat="false" ht="42" hidden="false" customHeight="true" outlineLevel="0" collapsed="false">
      <c r="A26" s="20" t="s">
        <v>126</v>
      </c>
      <c r="B26" s="20"/>
      <c r="C26" s="20"/>
      <c r="D26" s="20"/>
      <c r="E26" s="20"/>
      <c r="F26" s="20"/>
      <c r="G26" s="20"/>
    </row>
    <row r="27" customFormat="false" ht="37.5" hidden="false" customHeight="true" outlineLevel="0" collapsed="false">
      <c r="A27" s="21" t="s">
        <v>127</v>
      </c>
      <c r="B27" s="21" t="s">
        <v>127</v>
      </c>
      <c r="C27" s="23" t="s">
        <v>128</v>
      </c>
      <c r="D27" s="23" t="s">
        <v>129</v>
      </c>
      <c r="E27" s="24"/>
      <c r="F27" s="24"/>
      <c r="G27" s="23"/>
    </row>
    <row r="28" customFormat="false" ht="37.5" hidden="false" customHeight="true" outlineLevel="0" collapsed="false">
      <c r="A28" s="21" t="s">
        <v>130</v>
      </c>
      <c r="B28" s="21" t="s">
        <v>130</v>
      </c>
      <c r="C28" s="16" t="s">
        <v>131</v>
      </c>
      <c r="D28" s="16" t="s">
        <v>132</v>
      </c>
      <c r="E28" s="22"/>
      <c r="F28" s="22"/>
      <c r="G28" s="16"/>
    </row>
    <row r="29" customFormat="false" ht="37.5" hidden="false" customHeight="true" outlineLevel="0" collapsed="false">
      <c r="A29" s="21" t="s">
        <v>133</v>
      </c>
      <c r="B29" s="21" t="s">
        <v>133</v>
      </c>
      <c r="C29" s="23" t="s">
        <v>134</v>
      </c>
      <c r="D29" s="23" t="s">
        <v>135</v>
      </c>
      <c r="E29" s="24"/>
      <c r="F29" s="24"/>
      <c r="G29" s="23"/>
    </row>
    <row r="30" customFormat="false" ht="37.5" hidden="false" customHeight="true" outlineLevel="0" collapsed="false">
      <c r="A30" s="21" t="s">
        <v>136</v>
      </c>
      <c r="B30" s="21" t="s">
        <v>136</v>
      </c>
      <c r="C30" s="16" t="s">
        <v>137</v>
      </c>
      <c r="D30" s="16" t="s">
        <v>138</v>
      </c>
      <c r="E30" s="22"/>
      <c r="F30" s="22"/>
      <c r="G30" s="16"/>
    </row>
    <row r="31" customFormat="false" ht="37.5" hidden="false" customHeight="true" outlineLevel="0" collapsed="false">
      <c r="A31" s="21" t="s">
        <v>139</v>
      </c>
      <c r="B31" s="21" t="s">
        <v>139</v>
      </c>
      <c r="C31" s="23" t="s">
        <v>140</v>
      </c>
      <c r="D31" s="23" t="s">
        <v>141</v>
      </c>
      <c r="E31" s="24"/>
      <c r="F31" s="24"/>
      <c r="G31" s="23"/>
    </row>
    <row r="32" customFormat="false" ht="37.5" hidden="false" customHeight="true" outlineLevel="0" collapsed="false">
      <c r="A32" s="21" t="s">
        <v>142</v>
      </c>
      <c r="B32" s="21" t="s">
        <v>143</v>
      </c>
      <c r="C32" s="16" t="s">
        <v>144</v>
      </c>
      <c r="D32" s="16" t="s">
        <v>145</v>
      </c>
      <c r="E32" s="22"/>
      <c r="F32" s="22"/>
      <c r="G32" s="16"/>
    </row>
    <row r="33" customFormat="false" ht="37.5" hidden="false" customHeight="true" outlineLevel="0" collapsed="false">
      <c r="A33" s="21" t="s">
        <v>146</v>
      </c>
      <c r="B33" s="21" t="s">
        <v>147</v>
      </c>
      <c r="C33" s="23" t="s">
        <v>148</v>
      </c>
      <c r="D33" s="23" t="s">
        <v>149</v>
      </c>
      <c r="E33" s="24"/>
      <c r="F33" s="24"/>
      <c r="G33" s="23"/>
    </row>
    <row r="34" customFormat="false" ht="42" hidden="false" customHeight="true" outlineLevel="0" collapsed="false">
      <c r="A34" s="20" t="s">
        <v>150</v>
      </c>
      <c r="B34" s="20"/>
      <c r="C34" s="20"/>
      <c r="D34" s="20"/>
      <c r="E34" s="20"/>
      <c r="F34" s="20"/>
      <c r="G34" s="20"/>
    </row>
    <row r="35" customFormat="false" ht="37.5" hidden="false" customHeight="true" outlineLevel="0" collapsed="false">
      <c r="A35" s="21" t="s">
        <v>151</v>
      </c>
      <c r="B35" s="21" t="s">
        <v>151</v>
      </c>
      <c r="C35" s="23" t="s">
        <v>152</v>
      </c>
      <c r="D35" s="23" t="s">
        <v>153</v>
      </c>
      <c r="E35" s="24"/>
      <c r="F35" s="24"/>
      <c r="G35" s="23"/>
    </row>
    <row r="36" customFormat="false" ht="37.5" hidden="false" customHeight="true" outlineLevel="0" collapsed="false">
      <c r="A36" s="21" t="s">
        <v>154</v>
      </c>
      <c r="B36" s="21" t="s">
        <v>151</v>
      </c>
      <c r="C36" s="16" t="s">
        <v>155</v>
      </c>
      <c r="D36" s="16" t="s">
        <v>156</v>
      </c>
      <c r="E36" s="22"/>
      <c r="F36" s="22"/>
      <c r="G36" s="16"/>
    </row>
    <row r="37" customFormat="false" ht="37.5" hidden="false" customHeight="true" outlineLevel="0" collapsed="false">
      <c r="A37" s="21" t="s">
        <v>157</v>
      </c>
      <c r="B37" s="21" t="s">
        <v>154</v>
      </c>
      <c r="C37" s="23" t="s">
        <v>158</v>
      </c>
      <c r="D37" s="23" t="s">
        <v>159</v>
      </c>
      <c r="E37" s="24"/>
      <c r="F37" s="24"/>
      <c r="G37" s="23"/>
    </row>
    <row r="38" customFormat="false" ht="37.5" hidden="false" customHeight="true" outlineLevel="0" collapsed="false">
      <c r="A38" s="21" t="s">
        <v>160</v>
      </c>
      <c r="B38" s="21" t="s">
        <v>157</v>
      </c>
      <c r="C38" s="16" t="s">
        <v>161</v>
      </c>
      <c r="D38" s="16" t="s">
        <v>162</v>
      </c>
      <c r="E38" s="22"/>
      <c r="F38" s="22"/>
      <c r="G38" s="16"/>
    </row>
    <row r="39" customFormat="false" ht="42" hidden="false" customHeight="true" outlineLevel="0" collapsed="false">
      <c r="A39" s="20" t="s">
        <v>163</v>
      </c>
      <c r="B39" s="20"/>
      <c r="C39" s="20"/>
      <c r="D39" s="20"/>
      <c r="E39" s="20"/>
      <c r="F39" s="20"/>
      <c r="G39" s="20"/>
    </row>
    <row r="40" customFormat="false" ht="37.5" hidden="false" customHeight="true" outlineLevel="0" collapsed="false">
      <c r="A40" s="21" t="s">
        <v>164</v>
      </c>
      <c r="B40" s="21" t="s">
        <v>164</v>
      </c>
      <c r="C40" s="16" t="s">
        <v>165</v>
      </c>
      <c r="D40" s="16" t="s">
        <v>166</v>
      </c>
      <c r="E40" s="22"/>
      <c r="F40" s="22"/>
      <c r="G40" s="16"/>
    </row>
    <row r="41" customFormat="false" ht="37.5" hidden="false" customHeight="true" outlineLevel="0" collapsed="false">
      <c r="A41" s="21" t="s">
        <v>167</v>
      </c>
      <c r="B41" s="21" t="s">
        <v>164</v>
      </c>
      <c r="C41" s="23" t="s">
        <v>168</v>
      </c>
      <c r="D41" s="23" t="s">
        <v>169</v>
      </c>
      <c r="E41" s="24"/>
      <c r="F41" s="24"/>
      <c r="G41" s="23"/>
    </row>
    <row r="42" customFormat="false" ht="37.5" hidden="false" customHeight="true" outlineLevel="0" collapsed="false">
      <c r="A42" s="21" t="s">
        <v>170</v>
      </c>
      <c r="B42" s="21" t="s">
        <v>164</v>
      </c>
      <c r="C42" s="16" t="s">
        <v>171</v>
      </c>
      <c r="D42" s="16" t="s">
        <v>172</v>
      </c>
      <c r="E42" s="22"/>
      <c r="F42" s="22"/>
      <c r="G42" s="16"/>
    </row>
    <row r="43" customFormat="false" ht="37.5" hidden="false" customHeight="true" outlineLevel="0" collapsed="false">
      <c r="A43" s="21" t="s">
        <v>173</v>
      </c>
      <c r="B43" s="21" t="s">
        <v>167</v>
      </c>
      <c r="C43" s="23" t="s">
        <v>174</v>
      </c>
      <c r="D43" s="23" t="s">
        <v>175</v>
      </c>
      <c r="E43" s="24"/>
      <c r="F43" s="24"/>
      <c r="G43" s="23"/>
    </row>
    <row r="44" customFormat="false" ht="37.5" hidden="false" customHeight="true" outlineLevel="0" collapsed="false">
      <c r="A44" s="21" t="s">
        <v>176</v>
      </c>
      <c r="B44" s="21" t="s">
        <v>167</v>
      </c>
      <c r="C44" s="16" t="s">
        <v>177</v>
      </c>
      <c r="D44" s="16" t="s">
        <v>178</v>
      </c>
      <c r="E44" s="22"/>
      <c r="F44" s="22"/>
      <c r="G44" s="16"/>
    </row>
    <row r="45" customFormat="false" ht="37.5" hidden="false" customHeight="true" outlineLevel="0" collapsed="false">
      <c r="A45" s="21" t="s">
        <v>179</v>
      </c>
      <c r="B45" s="21" t="s">
        <v>167</v>
      </c>
      <c r="C45" s="23" t="s">
        <v>180</v>
      </c>
      <c r="D45" s="23" t="s">
        <v>181</v>
      </c>
      <c r="E45" s="24"/>
      <c r="F45" s="24"/>
      <c r="G45" s="23"/>
    </row>
    <row r="46" customFormat="false" ht="37.5" hidden="false" customHeight="true" outlineLevel="0" collapsed="false">
      <c r="A46" s="21" t="s">
        <v>182</v>
      </c>
      <c r="B46" s="21" t="s">
        <v>170</v>
      </c>
      <c r="C46" s="16" t="s">
        <v>183</v>
      </c>
      <c r="D46" s="16" t="s">
        <v>184</v>
      </c>
      <c r="E46" s="22"/>
      <c r="F46" s="22"/>
      <c r="G46" s="16"/>
    </row>
    <row r="47" customFormat="false" ht="37.5" hidden="false" customHeight="true" outlineLevel="0" collapsed="false">
      <c r="A47" s="21" t="s">
        <v>185</v>
      </c>
      <c r="B47" s="21" t="s">
        <v>170</v>
      </c>
      <c r="C47" s="23" t="s">
        <v>186</v>
      </c>
      <c r="D47" s="23" t="s">
        <v>187</v>
      </c>
      <c r="E47" s="24"/>
      <c r="F47" s="24"/>
      <c r="G47" s="23"/>
    </row>
    <row r="48" customFormat="false" ht="42" hidden="false" customHeight="true" outlineLevel="0" collapsed="false">
      <c r="A48" s="20" t="s">
        <v>188</v>
      </c>
      <c r="B48" s="20"/>
      <c r="C48" s="20"/>
      <c r="D48" s="20"/>
      <c r="E48" s="20"/>
      <c r="F48" s="20"/>
      <c r="G48" s="20"/>
    </row>
    <row r="49" customFormat="false" ht="37.5" hidden="false" customHeight="true" outlineLevel="0" collapsed="false">
      <c r="A49" s="21" t="s">
        <v>189</v>
      </c>
      <c r="B49" s="21" t="s">
        <v>189</v>
      </c>
      <c r="C49" s="23" t="s">
        <v>190</v>
      </c>
      <c r="D49" s="23" t="s">
        <v>191</v>
      </c>
      <c r="E49" s="24"/>
      <c r="F49" s="24"/>
      <c r="G49" s="23"/>
    </row>
    <row r="50" customFormat="false" ht="37.5" hidden="false" customHeight="true" outlineLevel="0" collapsed="false">
      <c r="A50" s="21" t="s">
        <v>192</v>
      </c>
      <c r="B50" s="21" t="s">
        <v>192</v>
      </c>
      <c r="C50" s="16" t="s">
        <v>193</v>
      </c>
      <c r="D50" s="16" t="s">
        <v>194</v>
      </c>
      <c r="E50" s="22"/>
      <c r="F50" s="22"/>
      <c r="G50" s="16"/>
    </row>
    <row r="51" customFormat="false" ht="37.5" hidden="false" customHeight="true" outlineLevel="0" collapsed="false">
      <c r="A51" s="21" t="s">
        <v>195</v>
      </c>
      <c r="B51" s="21" t="s">
        <v>192</v>
      </c>
      <c r="C51" s="23" t="s">
        <v>196</v>
      </c>
      <c r="D51" s="23" t="s">
        <v>197</v>
      </c>
      <c r="E51" s="24"/>
      <c r="F51" s="24"/>
      <c r="G51" s="23"/>
    </row>
    <row r="52" customFormat="false" ht="37.5" hidden="false" customHeight="true" outlineLevel="0" collapsed="false">
      <c r="A52" s="21" t="s">
        <v>198</v>
      </c>
      <c r="B52" s="21" t="s">
        <v>192</v>
      </c>
      <c r="C52" s="16" t="s">
        <v>199</v>
      </c>
      <c r="D52" s="16" t="s">
        <v>200</v>
      </c>
      <c r="E52" s="22"/>
      <c r="F52" s="22"/>
      <c r="G52" s="16"/>
    </row>
    <row r="53" customFormat="false" ht="42" hidden="false" customHeight="true" outlineLevel="0" collapsed="false">
      <c r="A53" s="20" t="s">
        <v>201</v>
      </c>
      <c r="B53" s="20"/>
      <c r="C53" s="20"/>
      <c r="D53" s="20"/>
      <c r="E53" s="20"/>
      <c r="F53" s="20"/>
      <c r="G53" s="20"/>
    </row>
    <row r="54" customFormat="false" ht="37.5" hidden="false" customHeight="true" outlineLevel="0" collapsed="false">
      <c r="A54" s="21" t="s">
        <v>202</v>
      </c>
      <c r="B54" s="21" t="s">
        <v>203</v>
      </c>
      <c r="C54" s="16" t="s">
        <v>204</v>
      </c>
      <c r="D54" s="16" t="s">
        <v>205</v>
      </c>
      <c r="E54" s="22"/>
      <c r="F54" s="22"/>
      <c r="G54" s="16"/>
    </row>
    <row r="55" customFormat="false" ht="37.5" hidden="false" customHeight="true" outlineLevel="0" collapsed="false">
      <c r="A55" s="21" t="s">
        <v>206</v>
      </c>
      <c r="B55" s="21" t="s">
        <v>207</v>
      </c>
      <c r="C55" s="23" t="s">
        <v>208</v>
      </c>
      <c r="D55" s="23" t="s">
        <v>209</v>
      </c>
      <c r="E55" s="24"/>
      <c r="F55" s="24"/>
      <c r="G55" s="23"/>
    </row>
    <row r="56" customFormat="false" ht="37.5" hidden="false" customHeight="true" outlineLevel="0" collapsed="false">
      <c r="A56" s="21" t="s">
        <v>210</v>
      </c>
      <c r="B56" s="21" t="s">
        <v>211</v>
      </c>
      <c r="C56" s="16" t="s">
        <v>212</v>
      </c>
      <c r="D56" s="16" t="s">
        <v>213</v>
      </c>
      <c r="E56" s="22"/>
      <c r="F56" s="22"/>
      <c r="G56" s="16"/>
    </row>
    <row r="57" customFormat="false" ht="37.5" hidden="false" customHeight="true" outlineLevel="0" collapsed="false">
      <c r="A57" s="21" t="s">
        <v>214</v>
      </c>
      <c r="B57" s="21" t="s">
        <v>215</v>
      </c>
      <c r="C57" s="23" t="s">
        <v>216</v>
      </c>
      <c r="D57" s="23" t="s">
        <v>217</v>
      </c>
      <c r="E57" s="24"/>
      <c r="F57" s="24"/>
      <c r="G57" s="23"/>
    </row>
    <row r="58" customFormat="false" ht="37.5" hidden="false" customHeight="true" outlineLevel="0" collapsed="false">
      <c r="A58" s="21" t="s">
        <v>218</v>
      </c>
      <c r="B58" s="21" t="s">
        <v>219</v>
      </c>
      <c r="C58" s="16" t="s">
        <v>220</v>
      </c>
      <c r="D58" s="16" t="s">
        <v>221</v>
      </c>
      <c r="E58" s="22"/>
      <c r="F58" s="22"/>
      <c r="G58" s="16"/>
    </row>
    <row r="59" customFormat="false" ht="37.5" hidden="false" customHeight="true" outlineLevel="0" collapsed="false">
      <c r="A59" s="21" t="s">
        <v>222</v>
      </c>
      <c r="B59" s="21" t="s">
        <v>223</v>
      </c>
      <c r="C59" s="23" t="s">
        <v>224</v>
      </c>
      <c r="D59" s="23" t="s">
        <v>225</v>
      </c>
      <c r="E59" s="24"/>
      <c r="F59" s="24"/>
      <c r="G59" s="23"/>
    </row>
    <row r="60" customFormat="false" ht="37.5" hidden="false" customHeight="true" outlineLevel="0" collapsed="false">
      <c r="A60" s="21" t="s">
        <v>226</v>
      </c>
      <c r="B60" s="21" t="s">
        <v>227</v>
      </c>
      <c r="C60" s="16" t="s">
        <v>228</v>
      </c>
      <c r="D60" s="16" t="s">
        <v>229</v>
      </c>
      <c r="E60" s="22"/>
      <c r="F60" s="22"/>
      <c r="G60" s="16"/>
    </row>
    <row r="61" customFormat="false" ht="37.5" hidden="false" customHeight="true" outlineLevel="0" collapsed="false">
      <c r="A61" s="21" t="s">
        <v>230</v>
      </c>
      <c r="B61" s="21" t="s">
        <v>231</v>
      </c>
      <c r="C61" s="23" t="s">
        <v>232</v>
      </c>
      <c r="D61" s="23" t="s">
        <v>233</v>
      </c>
      <c r="E61" s="24"/>
      <c r="F61" s="24"/>
      <c r="G61" s="23"/>
    </row>
    <row r="62" customFormat="false" ht="37.5" hidden="false" customHeight="true" outlineLevel="0" collapsed="false">
      <c r="A62" s="21" t="s">
        <v>234</v>
      </c>
      <c r="B62" s="21" t="s">
        <v>235</v>
      </c>
      <c r="C62" s="16" t="s">
        <v>236</v>
      </c>
      <c r="D62" s="16" t="s">
        <v>237</v>
      </c>
      <c r="E62" s="22"/>
      <c r="F62" s="22"/>
      <c r="G62" s="16"/>
    </row>
    <row r="63" customFormat="false" ht="37.5" hidden="false" customHeight="true" outlineLevel="0" collapsed="false">
      <c r="A63" s="21" t="s">
        <v>238</v>
      </c>
      <c r="B63" s="21" t="s">
        <v>104</v>
      </c>
      <c r="C63" s="23" t="s">
        <v>239</v>
      </c>
      <c r="D63" s="23" t="s">
        <v>240</v>
      </c>
      <c r="E63" s="24"/>
      <c r="F63" s="24"/>
      <c r="G63" s="23"/>
    </row>
    <row r="64" customFormat="false" ht="37.5" hidden="false" customHeight="true" outlineLevel="0" collapsed="false">
      <c r="A64" s="21" t="s">
        <v>241</v>
      </c>
      <c r="B64" s="21" t="s">
        <v>130</v>
      </c>
      <c r="C64" s="16" t="s">
        <v>242</v>
      </c>
      <c r="D64" s="16" t="s">
        <v>243</v>
      </c>
      <c r="E64" s="22"/>
      <c r="F64" s="22"/>
      <c r="G64" s="16"/>
    </row>
    <row r="65" customFormat="false" ht="37.5" hidden="false" customHeight="true" outlineLevel="0" collapsed="false">
      <c r="A65" s="21" t="s">
        <v>244</v>
      </c>
      <c r="B65" s="21" t="s">
        <v>245</v>
      </c>
      <c r="C65" s="23" t="s">
        <v>246</v>
      </c>
      <c r="D65" s="23" t="s">
        <v>247</v>
      </c>
      <c r="E65" s="24"/>
      <c r="F65" s="24"/>
      <c r="G65" s="23"/>
    </row>
    <row r="66" customFormat="false" ht="37.5" hidden="false" customHeight="true" outlineLevel="0" collapsed="false">
      <c r="A66" s="21" t="s">
        <v>248</v>
      </c>
      <c r="B66" s="21" t="s">
        <v>249</v>
      </c>
      <c r="C66" s="16" t="s">
        <v>250</v>
      </c>
      <c r="D66" s="16" t="s">
        <v>251</v>
      </c>
      <c r="E66" s="22"/>
      <c r="F66" s="22"/>
      <c r="G66" s="16"/>
    </row>
    <row r="67" customFormat="false" ht="37.5" hidden="false" customHeight="true" outlineLevel="0" collapsed="false">
      <c r="A67" s="21" t="s">
        <v>252</v>
      </c>
      <c r="B67" s="21" t="s">
        <v>253</v>
      </c>
      <c r="C67" s="23" t="s">
        <v>254</v>
      </c>
      <c r="D67" s="23" t="s">
        <v>255</v>
      </c>
      <c r="E67" s="24"/>
      <c r="F67" s="24"/>
      <c r="G67" s="23"/>
    </row>
    <row r="68" customFormat="false" ht="37.5" hidden="false" customHeight="true" outlineLevel="0" collapsed="false">
      <c r="A68" s="21" t="s">
        <v>256</v>
      </c>
      <c r="B68" s="21" t="s">
        <v>257</v>
      </c>
      <c r="C68" s="16" t="s">
        <v>258</v>
      </c>
      <c r="D68" s="16" t="s">
        <v>259</v>
      </c>
      <c r="E68" s="22"/>
      <c r="F68" s="22"/>
      <c r="G68" s="16"/>
    </row>
  </sheetData>
  <mergeCells count="9">
    <mergeCell ref="A1:G1"/>
    <mergeCell ref="A3:G3"/>
    <mergeCell ref="A11:G11"/>
    <mergeCell ref="A16:G16"/>
    <mergeCell ref="A26:G26"/>
    <mergeCell ref="A34:G34"/>
    <mergeCell ref="A39:G39"/>
    <mergeCell ref="A48:G48"/>
    <mergeCell ref="A53:G53"/>
  </mergeCells>
  <dataValidations count="2">
    <dataValidation allowBlank="false" errorStyle="stop" operator="between" showDropDown="false" showErrorMessage="false" showInputMessage="false" sqref="E3:E300" type="list">
      <formula1>"Compliant,Minor NC,Major NC,Observation,Not Audited"</formula1>
      <formula2>0</formula2>
    </dataValidation>
    <dataValidation allowBlank="false" errorStyle="stop" operator="between" showDropDown="false" showErrorMessage="false" showInputMessage="false" sqref="F3:F300" type="list">
      <formula1>"Major,Minor,Observation,N/A"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000C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8" min="7" style="0" width="16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14" t="s">
        <v>260</v>
      </c>
      <c r="B1" s="14"/>
      <c r="C1" s="14"/>
      <c r="D1" s="14"/>
      <c r="E1" s="14"/>
      <c r="F1" s="14"/>
      <c r="G1" s="14"/>
      <c r="H1" s="14"/>
      <c r="I1" s="14"/>
    </row>
    <row r="2" customFormat="false" ht="31.5" hidden="false" customHeight="true" outlineLevel="0" collapsed="false">
      <c r="A2" s="19" t="s">
        <v>261</v>
      </c>
      <c r="B2" s="19" t="s">
        <v>262</v>
      </c>
      <c r="C2" s="19" t="s">
        <v>263</v>
      </c>
      <c r="D2" s="19" t="s">
        <v>14</v>
      </c>
      <c r="E2" s="19" t="s">
        <v>264</v>
      </c>
      <c r="F2" s="19" t="s">
        <v>265</v>
      </c>
      <c r="G2" s="19" t="s">
        <v>266</v>
      </c>
      <c r="H2" s="19" t="s">
        <v>267</v>
      </c>
      <c r="I2" s="19" t="s">
        <v>268</v>
      </c>
    </row>
    <row r="3" customFormat="false" ht="30" hidden="false" customHeight="true" outlineLevel="0" collapsed="false">
      <c r="A3" s="23"/>
      <c r="B3" s="23"/>
      <c r="C3" s="23"/>
      <c r="D3" s="23"/>
      <c r="E3" s="23"/>
      <c r="F3" s="23"/>
      <c r="G3" s="23"/>
      <c r="H3" s="23"/>
      <c r="I3" s="23"/>
    </row>
    <row r="4" customFormat="false" ht="30" hidden="false" customHeight="true" outlineLevel="0" collapsed="false">
      <c r="A4" s="16"/>
      <c r="B4" s="16"/>
      <c r="C4" s="16"/>
      <c r="D4" s="16"/>
      <c r="E4" s="16"/>
      <c r="F4" s="16"/>
      <c r="G4" s="16"/>
      <c r="H4" s="16"/>
      <c r="I4" s="16"/>
    </row>
    <row r="5" customFormat="false" ht="30" hidden="false" customHeight="true" outlineLevel="0" collapsed="false">
      <c r="A5" s="23"/>
      <c r="B5" s="23"/>
      <c r="C5" s="23"/>
      <c r="D5" s="23"/>
      <c r="E5" s="23"/>
      <c r="F5" s="23"/>
      <c r="G5" s="23"/>
      <c r="H5" s="23"/>
      <c r="I5" s="23"/>
    </row>
    <row r="6" customFormat="false" ht="30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</row>
    <row r="7" customFormat="false" ht="30" hidden="false" customHeight="true" outlineLevel="0" collapsed="false">
      <c r="A7" s="23"/>
      <c r="B7" s="23"/>
      <c r="C7" s="23"/>
      <c r="D7" s="23"/>
      <c r="E7" s="23"/>
      <c r="F7" s="23"/>
      <c r="G7" s="23"/>
      <c r="H7" s="23"/>
      <c r="I7" s="23"/>
    </row>
    <row r="8" customFormat="false" ht="30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</row>
    <row r="9" customFormat="false" ht="30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3"/>
    </row>
    <row r="10" customFormat="false" ht="30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</row>
    <row r="11" customFormat="false" ht="30" hidden="false" customHeight="true" outlineLevel="0" collapsed="false">
      <c r="A11" s="23"/>
      <c r="B11" s="23"/>
      <c r="C11" s="23"/>
      <c r="D11" s="23"/>
      <c r="E11" s="23"/>
      <c r="F11" s="23"/>
      <c r="G11" s="23"/>
      <c r="H11" s="23"/>
      <c r="I11" s="23"/>
    </row>
    <row r="12" customFormat="false" ht="30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</row>
    <row r="13" customFormat="false" ht="30" hidden="false" customHeight="true" outlineLevel="0" collapsed="false">
      <c r="A13" s="23"/>
      <c r="B13" s="23"/>
      <c r="C13" s="23"/>
      <c r="D13" s="23"/>
      <c r="E13" s="23"/>
      <c r="F13" s="23"/>
      <c r="G13" s="23"/>
      <c r="H13" s="23"/>
      <c r="I13" s="23"/>
    </row>
    <row r="14" customFormat="false" ht="30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</row>
    <row r="15" customFormat="false" ht="30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  <c r="I15" s="23"/>
    </row>
    <row r="16" customFormat="false" ht="30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/>
    </row>
    <row r="17" customFormat="false" ht="30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</row>
    <row r="19" customFormat="false" ht="13.5" hidden="false" customHeight="true" outlineLevel="0" collapsed="false"/>
    <row r="20" customFormat="false" ht="21.75" hidden="false" customHeight="true" outlineLevel="0" collapsed="false">
      <c r="A20" s="25" t="s">
        <v>269</v>
      </c>
      <c r="B20" s="25"/>
    </row>
    <row r="21" customFormat="false" ht="21.75" hidden="false" customHeight="true" outlineLevel="0" collapsed="false">
      <c r="A21" s="7" t="s">
        <v>270</v>
      </c>
      <c r="B21" s="26" t="n">
        <f aca="false">COUNTIF(D3:D200,"Major")</f>
        <v>0</v>
      </c>
    </row>
    <row r="22" customFormat="false" ht="21.75" hidden="false" customHeight="true" outlineLevel="0" collapsed="false">
      <c r="A22" s="9" t="s">
        <v>271</v>
      </c>
      <c r="B22" s="27" t="n">
        <f aca="false">COUNTIF(D3:D200,"Minor")</f>
        <v>0</v>
      </c>
    </row>
    <row r="23" customFormat="false" ht="21.75" hidden="false" customHeight="true" outlineLevel="0" collapsed="false">
      <c r="A23" s="11" t="s">
        <v>272</v>
      </c>
      <c r="B23" s="28" t="n">
        <f aca="false">COUNTIF(D3:D200,"Observation")</f>
        <v>0</v>
      </c>
    </row>
    <row r="24" customFormat="false" ht="21.75" hidden="false" customHeight="true" outlineLevel="0" collapsed="false">
      <c r="A24" s="29" t="s">
        <v>273</v>
      </c>
      <c r="B24" s="30" t="n">
        <f aca="false">COUNTIF(I3:I200,"Open")</f>
        <v>0</v>
      </c>
    </row>
  </sheetData>
  <mergeCells count="2">
    <mergeCell ref="A1:I1"/>
    <mergeCell ref="A20:B20"/>
  </mergeCells>
  <dataValidations count="2">
    <dataValidation allowBlank="false" errorStyle="stop" operator="between" showDropDown="false" showErrorMessage="false" showInputMessage="false" sqref="D3:D200" type="list">
      <formula1>"Major,Minor,Observation"</formula1>
      <formula2>0</formula2>
    </dataValidation>
    <dataValidation allowBlank="false" errorStyle="stop" operator="between" showDropDown="false" showErrorMessage="false" showInputMessage="false" sqref="I3:I200" type="list">
      <formula1>"Open,In Progress,Closed,Verified"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2026-05-09T11:55:56Z</dcterms:created>
  <dc:creator>openpyxl</dc:creator>
  <dc:description/>
  <dc:language>en-US</dc:language>
  <cp:lastModifiedBy/>
  <dcterms:modified xsi:type="dcterms:W3CDTF">2026-05-09T11:55:57Z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
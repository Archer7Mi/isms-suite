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tatement of Applicability" sheetId="2" state="visible" r:id="rId4"/>
    <sheet name="Summary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<sst xmlns="http://schemas.openxmlformats.org/spreadsheetml/2006/main" count="625" uniqueCount="358">
  <si>
    <t xml:space="preserve">STARK INDUSTRIES</t>
  </si>
  <si>
    <t xml:space="preserve">Statement of Applicability (SoA)  —  ISO/IEC 27001:2022</t>
  </si>
  <si>
    <t xml:space="preserve">Document ID</t>
  </si>
  <si>
    <t xml:space="preserve">MS-ISMS-SOA-003</t>
  </si>
  <si>
    <t xml:space="preserve">Version</t>
  </si>
  <si>
    <t xml:space="preserve">1.0</t>
  </si>
  <si>
    <t xml:space="preserve">Document Owner</t>
  </si>
  <si>
    <t xml:space="preserve">Stark Industries</t>
  </si>
  <si>
    <t xml:space="preserve">Prepared by</t>
  </si>
  <si>
    <t xml:space="preserve">Michael's Security</t>
  </si>
  <si>
    <t xml:space="preserve">Standard</t>
  </si>
  <si>
    <t xml:space="preserve">ISO/IEC 27001:2022 — All 93 Annex A Controls</t>
  </si>
  <si>
    <t xml:space="preserve">Applicable Regulation</t>
  </si>
  <si>
    <t xml:space="preserve">Kenya Data Protection Act 2019</t>
  </si>
  <si>
    <t xml:space="preserve">Classification</t>
  </si>
  <si>
    <t xml:space="preserve">Confidential</t>
  </si>
  <si>
    <t xml:space="preserve">Effective Date</t>
  </si>
  <si>
    <t xml:space="preserve">May 2026</t>
  </si>
  <si>
    <t xml:space="preserve">Next Review</t>
  </si>
  <si>
    <t xml:space="preserve">May 2027</t>
  </si>
  <si>
    <t xml:space="preserve">Total Controls</t>
  </si>
  <si>
    <t xml:space="preserve">93</t>
  </si>
  <si>
    <t xml:space="preserve">Controls Included</t>
  </si>
  <si>
    <t xml:space="preserve">See SoA sheet — COUNTIF formula</t>
  </si>
  <si>
    <t xml:space="preserve">Controls Excluded</t>
  </si>
  <si>
    <t xml:space="preserve">Implementation Status Legend</t>
  </si>
  <si>
    <t xml:space="preserve">Implemented</t>
  </si>
  <si>
    <t xml:space="preserve">Control is fully implemented and operating effectively.</t>
  </si>
  <si>
    <t xml:space="preserve">Partially Implemented</t>
  </si>
  <si>
    <t xml:space="preserve">Control is in progress or only partially meets the requirement.</t>
  </si>
  <si>
    <t xml:space="preserve">Planned</t>
  </si>
  <si>
    <t xml:space="preserve">Control is planned; implementation not yet started.</t>
  </si>
  <si>
    <t xml:space="preserve">Not Applicable</t>
  </si>
  <si>
    <t xml:space="preserve">Control excluded — justification provided in SoA.</t>
  </si>
  <si>
    <t xml:space="preserve">Prepared by Michael's Security  •  ISO/IEC 27001:2022  •  MS-ISMS-SOA-003</t>
  </si>
  <si>
    <t xml:space="preserve">STARK INDUSTRIES  —  Statement of Applicability  |  ISO/IEC 27001:2022 — All 93 Annex A Controls  |  MS-ISMS-SOA-003  |  v1.0</t>
  </si>
  <si>
    <t xml:space="preserve">Control Ref</t>
  </si>
  <si>
    <t xml:space="preserve">Control Name</t>
  </si>
  <si>
    <t xml:space="preserve">Included?</t>
  </si>
  <si>
    <t xml:space="preserve">Justification</t>
  </si>
  <si>
    <t xml:space="preserve">Implementation Status</t>
  </si>
  <si>
    <t xml:space="preserve">Supporting Document(s)</t>
  </si>
  <si>
    <t xml:space="preserve">  5. Organisational Controls (37 controls)</t>
  </si>
  <si>
    <t xml:space="preserve">5.1</t>
  </si>
  <si>
    <t xml:space="preserve">Policies for information security</t>
  </si>
  <si>
    <t xml:space="preserve">Included</t>
  </si>
  <si>
    <t xml:space="preserve">IS Policy (MS-ISMS-POL-001) establishes management direction; reviewed annually.</t>
  </si>
  <si>
    <t xml:space="preserve">MS-ISMS-POL-001</t>
  </si>
  <si>
    <t xml:space="preserve">5.2</t>
  </si>
  <si>
    <t xml:space="preserve">Information security roles and responsibilities</t>
  </si>
  <si>
    <t xml:space="preserve">Roles and accountability defined in IS Policy RACI table; CISO appointed.</t>
  </si>
  <si>
    <t xml:space="preserve">5.3</t>
  </si>
  <si>
    <t xml:space="preserve">Segregation of duties</t>
  </si>
  <si>
    <t xml:space="preserve">Critical functions separated across IT, Finance, and HR; compensating controls where full segregation not feasible.</t>
  </si>
  <si>
    <t xml:space="preserve">MS-ISMS-POL-001, MS-ISMS-ACP-006</t>
  </si>
  <si>
    <t xml:space="preserve">5.4</t>
  </si>
  <si>
    <t xml:space="preserve">Management responsibilities</t>
  </si>
  <si>
    <t xml:space="preserve">Management commitment evidenced through policy approval and resource allocation for ISMS.</t>
  </si>
  <si>
    <t xml:space="preserve">5.5</t>
  </si>
  <si>
    <t xml:space="preserve">Contact with authorities</t>
  </si>
  <si>
    <t xml:space="preserve">CISO responsible for maintaining contacts with ODPC (Kenya), law enforcement, and CERT.</t>
  </si>
  <si>
    <t xml:space="preserve">MS-ISMS-IRP-005</t>
  </si>
  <si>
    <t xml:space="preserve">5.6</t>
  </si>
  <si>
    <t xml:space="preserve">Contact with special interest groups</t>
  </si>
  <si>
    <t xml:space="preserve">Michael's Security (MSSP) maintains threat intelligence feeds and industry group memberships.</t>
  </si>
  <si>
    <t xml:space="preserve">MS-ISMS-SUP-008</t>
  </si>
  <si>
    <t xml:space="preserve">5.7</t>
  </si>
  <si>
    <t xml:space="preserve">Threat intelligence</t>
  </si>
  <si>
    <t xml:space="preserve">Michael's Security provides continuous threat intelligence; informs risk assessment updates.</t>
  </si>
  <si>
    <t xml:space="preserve">MS-ISMS-RISK-002</t>
  </si>
  <si>
    <t xml:space="preserve">5.8</t>
  </si>
  <si>
    <t xml:space="preserve">Information security in project management</t>
  </si>
  <si>
    <t xml:space="preserve">Security requirements included in project initiation; IT/Security Team engaged in all significant projects.</t>
  </si>
  <si>
    <t xml:space="preserve">5.9</t>
  </si>
  <si>
    <t xml:space="preserve">Inventory of information and other associated assets</t>
  </si>
  <si>
    <t xml:space="preserve">Asset Register (MS-ISMS-ASSET-004) maintained with owner, classification, and value.</t>
  </si>
  <si>
    <t xml:space="preserve">MS-ISMS-ASSET-004</t>
  </si>
  <si>
    <t xml:space="preserve">5.10</t>
  </si>
  <si>
    <t xml:space="preserve">Acceptable use of information and other associated assets</t>
  </si>
  <si>
    <t xml:space="preserve">Acceptable use rules defined in IS Policy and communicated via awareness training.</t>
  </si>
  <si>
    <t xml:space="preserve">MS-ISMS-POL-001, MS-ISMS-TRAIN-009</t>
  </si>
  <si>
    <t xml:space="preserve">5.11</t>
  </si>
  <si>
    <t xml:space="preserve">Return of assets</t>
  </si>
  <si>
    <t xml:space="preserve">Asset return process defined in offboarding procedure; HR and IT coordinate on leavers.</t>
  </si>
  <si>
    <t xml:space="preserve">MS-ISMS-ACP-006</t>
  </si>
  <si>
    <t xml:space="preserve">5.12</t>
  </si>
  <si>
    <t xml:space="preserve">Classification of information</t>
  </si>
  <si>
    <t xml:space="preserve">Four-tier classification scheme (Public/Internal/Confidential/Restricted) defined and applied.</t>
  </si>
  <si>
    <t xml:space="preserve">MS-ISMS-POL-001, MS-ISMS-ASSET-004</t>
  </si>
  <si>
    <t xml:space="preserve">5.13</t>
  </si>
  <si>
    <t xml:space="preserve">Labelling of information</t>
  </si>
  <si>
    <t xml:space="preserve">Classification labels applied to documents and data repositories per classification scheme.</t>
  </si>
  <si>
    <t xml:space="preserve">5.14</t>
  </si>
  <si>
    <t xml:space="preserve">Information transfer</t>
  </si>
  <si>
    <t xml:space="preserve">Data transfer controls in place; encryption required for Confidential/Restricted data in transit; KDPA 2019 transfer obligations observed.</t>
  </si>
  <si>
    <t xml:space="preserve">5.15</t>
  </si>
  <si>
    <t xml:space="preserve">Access control</t>
  </si>
  <si>
    <t xml:space="preserve">Access Control Policy (MS-ISMS-ACP-006) implements least privilege, MFA, and formal provisioning.</t>
  </si>
  <si>
    <t xml:space="preserve">5.16</t>
  </si>
  <si>
    <t xml:space="preserve">Identity management</t>
  </si>
  <si>
    <t xml:space="preserve">Unique user IDs enforced; no shared accounts; formal provisioning/deprovisioning process.</t>
  </si>
  <si>
    <t xml:space="preserve">5.17</t>
  </si>
  <si>
    <t xml:space="preserve">Authentication information</t>
  </si>
  <si>
    <t xml:space="preserve">Password policy (NIST SP 800-63B aligned) and MFA requirements defined and enforced.</t>
  </si>
  <si>
    <t xml:space="preserve">5.18</t>
  </si>
  <si>
    <t xml:space="preserve">Access rights</t>
  </si>
  <si>
    <t xml:space="preserve">Access rights granted based on business need; quarterly privileged access reviews; semi-annual general reviews.</t>
  </si>
  <si>
    <t xml:space="preserve">5.19</t>
  </si>
  <si>
    <t xml:space="preserve">Information security in supplier relationships</t>
  </si>
  <si>
    <t xml:space="preserve">Supplier Security Policy (MS-ISMS-SUP-008) governs all third-party relationships.</t>
  </si>
  <si>
    <t xml:space="preserve">5.20</t>
  </si>
  <si>
    <t xml:space="preserve">Addressing information security within supplier agreements</t>
  </si>
  <si>
    <t xml:space="preserve">Contractual security clauses (DPA, NDA, right-to-audit, incident notification) in all supplier contracts.</t>
  </si>
  <si>
    <t xml:space="preserve">5.21</t>
  </si>
  <si>
    <t xml:space="preserve">Managing information security in the ICT supply chain</t>
  </si>
  <si>
    <t xml:space="preserve">Sub-processor controls and fourth-party disclosure requirements in Tier 1 supplier agreements.</t>
  </si>
  <si>
    <t xml:space="preserve">5.22</t>
  </si>
  <si>
    <t xml:space="preserve">Monitoring, review and change management of supplier services</t>
  </si>
  <si>
    <t xml:space="preserve">Annual supplier security reviews; access log monitoring; performance tracked in Supplier Security Register.</t>
  </si>
  <si>
    <t xml:space="preserve">5.23</t>
  </si>
  <si>
    <t xml:space="preserve">Information security for use of cloud services</t>
  </si>
  <si>
    <t xml:space="preserve">Cloud security requirements embedded in supplier assessment; data residency verified for KDPA compliance.</t>
  </si>
  <si>
    <t xml:space="preserve">5.24</t>
  </si>
  <si>
    <t xml:space="preserve">Information security incident management planning and preparation</t>
  </si>
  <si>
    <t xml:space="preserve">Incident Response Plan (MS-ISMS-IRP-005) with PICERL framework; roles defined.</t>
  </si>
  <si>
    <t xml:space="preserve">5.25</t>
  </si>
  <si>
    <t xml:space="preserve">Assessment and decision on information security events</t>
  </si>
  <si>
    <t xml:space="preserve">Severity classification P1–P4 defined in IRP; CISO has final classification authority.</t>
  </si>
  <si>
    <t xml:space="preserve">5.26</t>
  </si>
  <si>
    <t xml:space="preserve">Response to information security incidents</t>
  </si>
  <si>
    <t xml:space="preserve">IRP defines containment, eradication, and recovery procedures; MSSP engaged for P1/P2.</t>
  </si>
  <si>
    <t xml:space="preserve">5.27</t>
  </si>
  <si>
    <t xml:space="preserve">Learning from information security incidents</t>
  </si>
  <si>
    <t xml:space="preserve">Post-incident review mandatory for P1/P2; lessons learned incorporated into IRP and controls.</t>
  </si>
  <si>
    <t xml:space="preserve">5.28</t>
  </si>
  <si>
    <t xml:space="preserve">Collection of evidence</t>
  </si>
  <si>
    <t xml:space="preserve">Evidence preservation and chain of custody procedures defined in IRP Section 5.3.</t>
  </si>
  <si>
    <t xml:space="preserve">5.29</t>
  </si>
  <si>
    <t xml:space="preserve">Information security during disruption</t>
  </si>
  <si>
    <t xml:space="preserve">BCP (MS-ISMS-BCP-007) maintains security controls during continuity events.</t>
  </si>
  <si>
    <t xml:space="preserve">MS-ISMS-BCP-007</t>
  </si>
  <si>
    <t xml:space="preserve">5.30</t>
  </si>
  <si>
    <t xml:space="preserve">ICT readiness for business continuity</t>
  </si>
  <si>
    <t xml:space="preserve">RTO/RPO defined for all critical systems; tested annually; backup restoration tested quarterly.</t>
  </si>
  <si>
    <t xml:space="preserve">5.31</t>
  </si>
  <si>
    <t xml:space="preserve">Legal, statutory, regulatory and contractual requirements</t>
  </si>
  <si>
    <t xml:space="preserve">KDPA 2019 obligations identified; CISO maintains register of applicable requirements.</t>
  </si>
  <si>
    <t xml:space="preserve">5.32</t>
  </si>
  <si>
    <t xml:space="preserve">Intellectual property rights</t>
  </si>
  <si>
    <t xml:space="preserve">Software licensing controls in place; IP classified as Restricted; NDA required for access.</t>
  </si>
  <si>
    <t xml:space="preserve">5.33</t>
  </si>
  <si>
    <t xml:space="preserve">Protection of records</t>
  </si>
  <si>
    <t xml:space="preserve">Record retention policy defined; 7-year retention for financial records; KDPA-compliant data retention.</t>
  </si>
  <si>
    <t xml:space="preserve">5.34</t>
  </si>
  <si>
    <t xml:space="preserve">Privacy and protection of PII</t>
  </si>
  <si>
    <t xml:space="preserve">KDPA 2019 compliance embedded throughout ISMS; DPO role assigned; ODPC registration maintained.</t>
  </si>
  <si>
    <t xml:space="preserve">MS-ISMS-POL-001, MS-ISMS-IRP-005</t>
  </si>
  <si>
    <t xml:space="preserve">5.35</t>
  </si>
  <si>
    <t xml:space="preserve">Independent review of information security</t>
  </si>
  <si>
    <t xml:space="preserve">Internal audit (MS-ISMS-AUD-010) conducted annually; Michael's Security provides external perspective.</t>
  </si>
  <si>
    <t xml:space="preserve">MS-ISMS-AUD-010</t>
  </si>
  <si>
    <t xml:space="preserve">5.36</t>
  </si>
  <si>
    <t xml:space="preserve">Compliance with policies, rules and standards</t>
  </si>
  <si>
    <t xml:space="preserve">Annual compliance review; non-conformities tracked in NC register; corrective actions managed.</t>
  </si>
  <si>
    <t xml:space="preserve">5.37</t>
  </si>
  <si>
    <t xml:space="preserve">Documented operating procedures</t>
  </si>
  <si>
    <t xml:space="preserve">Operating procedures documented for critical IT processes; version-controlled and access-restricted.</t>
  </si>
  <si>
    <t xml:space="preserve">  6. People Controls (8 controls)</t>
  </si>
  <si>
    <t xml:space="preserve">6.1</t>
  </si>
  <si>
    <t xml:space="preserve">Screening</t>
  </si>
  <si>
    <t xml:space="preserve">Background checks conducted for all new hires and contractors with access to Confidential/Restricted data.</t>
  </si>
  <si>
    <t xml:space="preserve">6.2</t>
  </si>
  <si>
    <t xml:space="preserve">Terms and conditions of employment</t>
  </si>
  <si>
    <t xml:space="preserve">Confidentiality obligations and IS responsibilities included in all employment contracts.</t>
  </si>
  <si>
    <t xml:space="preserve">6.3</t>
  </si>
  <si>
    <t xml:space="preserve">Information security awareness, education and training</t>
  </si>
  <si>
    <t xml:space="preserve">Security awareness training programme (MS-ISMS-TRAIN-009); onboarding + annual; phishing simulations quarterly.</t>
  </si>
  <si>
    <t xml:space="preserve">MS-ISMS-TRAIN-009</t>
  </si>
  <si>
    <t xml:space="preserve">6.4</t>
  </si>
  <si>
    <t xml:space="preserve">Disciplinary process</t>
  </si>
  <si>
    <t xml:space="preserve">Policy violation consequences documented in IS Policy and employment terms; formal disciplinary process in place.</t>
  </si>
  <si>
    <t xml:space="preserve">6.5</t>
  </si>
  <si>
    <t xml:space="preserve">Responsibilities after termination or change of employment</t>
  </si>
  <si>
    <t xml:space="preserve">Confidentiality obligations survive employment; access revoked on departure day; asset return required.</t>
  </si>
  <si>
    <t xml:space="preserve">6.6</t>
  </si>
  <si>
    <t xml:space="preserve">Confidentiality or non-disclosure agreements</t>
  </si>
  <si>
    <t xml:space="preserve">NDAs required for all staff, contractors, and third parties with access to Confidential/Restricted data.</t>
  </si>
  <si>
    <t xml:space="preserve">6.7</t>
  </si>
  <si>
    <t xml:space="preserve">Remote working</t>
  </si>
  <si>
    <t xml:space="preserve">Remote access via corporate VPN with MFA; MDM-enrolled devices for Confidential data access; remote working policy enforced.</t>
  </si>
  <si>
    <t xml:space="preserve">6.8</t>
  </si>
  <si>
    <t xml:space="preserve">Information security event reporting</t>
  </si>
  <si>
    <t xml:space="preserve">All staff trained to report incidents; IRP defines reporting channels and escalation (MS-ISMS-IRP-005).</t>
  </si>
  <si>
    <t xml:space="preserve">MS-ISMS-IRP-005, MS-ISMS-TRAIN-009</t>
  </si>
  <si>
    <t xml:space="preserve">  7. Physical Controls (14 controls)</t>
  </si>
  <si>
    <t xml:space="preserve">7.1</t>
  </si>
  <si>
    <t xml:space="preserve">Physical security perimeters</t>
  </si>
  <si>
    <t xml:space="preserve">Office and data centre perimeters secured; access control systems in place at all entry points.</t>
  </si>
  <si>
    <t xml:space="preserve">7.2</t>
  </si>
  <si>
    <t xml:space="preserve">Physical entry</t>
  </si>
  <si>
    <t xml:space="preserve">Visitor management procedure; badge access; CCTV at entry points; tailgating prevention training.</t>
  </si>
  <si>
    <t xml:space="preserve">7.3</t>
  </si>
  <si>
    <t xml:space="preserve">Securing offices, rooms and facilities</t>
  </si>
  <si>
    <t xml:space="preserve">Server room access restricted to IT staff; clean desk policy enforced; lockable storage for physical media.</t>
  </si>
  <si>
    <t xml:space="preserve">7.4</t>
  </si>
  <si>
    <t xml:space="preserve">Physical security monitoring</t>
  </si>
  <si>
    <t xml:space="preserve">CCTV operational at all facilities; logs retained 90 days; monitored by Facilities Manager.</t>
  </si>
  <si>
    <t xml:space="preserve">7.5</t>
  </si>
  <si>
    <t xml:space="preserve">Protecting against physical and environmental threats</t>
  </si>
  <si>
    <t xml:space="preserve">UPS and generator for server room; fire suppression; flood and environmental controls assessed annually.</t>
  </si>
  <si>
    <t xml:space="preserve">7.6</t>
  </si>
  <si>
    <t xml:space="preserve">Working in secure areas</t>
  </si>
  <si>
    <t xml:space="preserve">Server room and secure areas: no photography; escorted access for visitors; clean desk enforced.</t>
  </si>
  <si>
    <t xml:space="preserve">7.7</t>
  </si>
  <si>
    <t xml:space="preserve">Clear desk and clear screen</t>
  </si>
  <si>
    <t xml:space="preserve">Clear desk policy mandatory; screen lock after 5 minutes inactivity; enforced via MDM policy.</t>
  </si>
  <si>
    <t xml:space="preserve">7.8</t>
  </si>
  <si>
    <t xml:space="preserve">Equipment siting and protection</t>
  </si>
  <si>
    <t xml:space="preserve">Servers in locked, access-controlled room; workstations cable-locked where required; no equipment in public areas.</t>
  </si>
  <si>
    <t xml:space="preserve">7.9</t>
  </si>
  <si>
    <t xml:space="preserve">Security of assets off-premises</t>
  </si>
  <si>
    <t xml:space="preserve">Mobile device policy (MDM enrolled, encrypted); remote wipe capability; travel security briefings.</t>
  </si>
  <si>
    <t xml:space="preserve">7.10</t>
  </si>
  <si>
    <t xml:space="preserve">Storage media</t>
  </si>
  <si>
    <t xml:space="preserve">Removable media restricted; encrypted where authorised; secure disposal of decommissioned media (certificate required).</t>
  </si>
  <si>
    <t xml:space="preserve">7.11</t>
  </si>
  <si>
    <t xml:space="preserve">Supporting utilities</t>
  </si>
  <si>
    <t xml:space="preserve">UPS, generator, and redundant power feeds for critical systems; tested annually per BCP.</t>
  </si>
  <si>
    <t xml:space="preserve">7.12</t>
  </si>
  <si>
    <t xml:space="preserve">Cabling security</t>
  </si>
  <si>
    <t xml:space="preserve">Network cabling managed; patch panels labelled; physical access to comms rooms restricted.</t>
  </si>
  <si>
    <t xml:space="preserve">7.13</t>
  </si>
  <si>
    <t xml:space="preserve">Equipment maintenance</t>
  </si>
  <si>
    <t xml:space="preserve">Maintenance schedule for all critical hardware; only authorised vendors; maintenance logs retained.</t>
  </si>
  <si>
    <t xml:space="preserve">7.14</t>
  </si>
  <si>
    <t xml:space="preserve">Secure disposal or re-use of equipment</t>
  </si>
  <si>
    <t xml:space="preserve">Secure wipe (DoD 5220.22-M or equivalent) or physical destruction required; destruction certificates retained.</t>
  </si>
  <si>
    <t xml:space="preserve">  8. Technological Controls (34 controls)</t>
  </si>
  <si>
    <t xml:space="preserve">8.1</t>
  </si>
  <si>
    <t xml:space="preserve">User end point devices</t>
  </si>
  <si>
    <t xml:space="preserve">MDM enrolled; BitLocker/FileVault encryption; auto-lock; remote wipe; managed via endpoint policy.</t>
  </si>
  <si>
    <t xml:space="preserve">8.2</t>
  </si>
  <si>
    <t xml:space="preserve">Privileged access rights</t>
  </si>
  <si>
    <t xml:space="preserve">PAM process defined; separate privileged accounts; JIT access preferred; quarterly review; all sessions logged.</t>
  </si>
  <si>
    <t xml:space="preserve">8.3</t>
  </si>
  <si>
    <t xml:space="preserve">Information access restriction</t>
  </si>
  <si>
    <t xml:space="preserve">Access rights based on classification and role; least privilege enforced; MFA for Confidential/Restricted.</t>
  </si>
  <si>
    <t xml:space="preserve">8.4</t>
  </si>
  <si>
    <t xml:space="preserve">Access to source code</t>
  </si>
  <si>
    <t xml:space="preserve">Source code repositories access-controlled; role-based permissions; audit logging enabled.</t>
  </si>
  <si>
    <t xml:space="preserve">8.5</t>
  </si>
  <si>
    <t xml:space="preserve">Secure authentication</t>
  </si>
  <si>
    <t xml:space="preserve">MFA mandatory for remote and privileged access; NIST SP 800-63B password policy; SSO with MFA for cloud services.</t>
  </si>
  <si>
    <t xml:space="preserve">8.6</t>
  </si>
  <si>
    <t xml:space="preserve">Capacity management</t>
  </si>
  <si>
    <t xml:space="preserve">Cloud infrastructure auto-scaling; capacity reviewed monthly; alerts for threshold breaches.</t>
  </si>
  <si>
    <t xml:space="preserve">8.7</t>
  </si>
  <si>
    <t xml:space="preserve">Protection against malware</t>
  </si>
  <si>
    <t xml:space="preserve">EDR deployed on all endpoints; managed by Michael's Security (MSSP); real-time alerting.</t>
  </si>
  <si>
    <t xml:space="preserve">8.8</t>
  </si>
  <si>
    <t xml:space="preserve">Management of technical vulnerabilities</t>
  </si>
  <si>
    <t xml:space="preserve">Monthly patching cycle; critical patches within 48 hours; vulnerability scanning by MSSP; CVE monitoring.</t>
  </si>
  <si>
    <t xml:space="preserve">8.9</t>
  </si>
  <si>
    <t xml:space="preserve">Configuration management</t>
  </si>
  <si>
    <t xml:space="preserve">Configuration baselines defined for servers, endpoints, and network devices; changes via change management.</t>
  </si>
  <si>
    <t xml:space="preserve">8.10</t>
  </si>
  <si>
    <t xml:space="preserve">Information deletion</t>
  </si>
  <si>
    <t xml:space="preserve">Data deletion procedures aligned with retention policy; KDPA 2019 right-to-erasure process documented.</t>
  </si>
  <si>
    <t xml:space="preserve">8.11</t>
  </si>
  <si>
    <t xml:space="preserve">Data masking</t>
  </si>
  <si>
    <t xml:space="preserve">PII masked in non-production environments; dynamic data masking applied to Restricted data in analytics.</t>
  </si>
  <si>
    <t xml:space="preserve">8.12</t>
  </si>
  <si>
    <t xml:space="preserve">Data leakage prevention</t>
  </si>
  <si>
    <t xml:space="preserve">DLP policies enforced in Microsoft 365; email filtering; USB device control via MDM.</t>
  </si>
  <si>
    <t xml:space="preserve">8.13</t>
  </si>
  <si>
    <t xml:space="preserve">Information backup</t>
  </si>
  <si>
    <t xml:space="preserve">3-2-1 backup strategy; encrypted backups; tested quarterly; immutable backup storage.</t>
  </si>
  <si>
    <t xml:space="preserve">8.14</t>
  </si>
  <si>
    <t xml:space="preserve">Redundancy of information processing facilities</t>
  </si>
  <si>
    <t xml:space="preserve">Geo-redundant cloud architecture; secondary ISP; RTO/RPO defined and tested per BCP.</t>
  </si>
  <si>
    <t xml:space="preserve">8.15</t>
  </si>
  <si>
    <t xml:space="preserve">Logging</t>
  </si>
  <si>
    <t xml:space="preserve">Centralised logging via SIEM; privileged access, authentication, and security events logged; 12-month retention.</t>
  </si>
  <si>
    <t xml:space="preserve">8.16</t>
  </si>
  <si>
    <t xml:space="preserve">Monitoring activities</t>
  </si>
  <si>
    <t xml:space="preserve">24/7 security monitoring by Michael's Security (MSSP); anomaly detection; monthly log reviews.</t>
  </si>
  <si>
    <t xml:space="preserve">8.17</t>
  </si>
  <si>
    <t xml:space="preserve">Clock synchronisation</t>
  </si>
  <si>
    <t xml:space="preserve">NTP synchronisation enforced across all systems; critical for log correlation and forensic integrity.</t>
  </si>
  <si>
    <t xml:space="preserve">8.18</t>
  </si>
  <si>
    <t xml:space="preserve">Use of privileged utility programs</t>
  </si>
  <si>
    <t xml:space="preserve">Privileged tools access-restricted; usage logged; non-essential utilities disabled on endpoints.</t>
  </si>
  <si>
    <t xml:space="preserve">8.19</t>
  </si>
  <si>
    <t xml:space="preserve">Installation of software on operational systems</t>
  </si>
  <si>
    <t xml:space="preserve">Software installation restricted via MDM and group policy; approved software whitelist maintained.</t>
  </si>
  <si>
    <t xml:space="preserve">8.20</t>
  </si>
  <si>
    <t xml:space="preserve">Networks security</t>
  </si>
  <si>
    <t xml:space="preserve">Network segmentation (DMZ, server VLAN, user VLAN); firewall with deny-by-default ruleset; quarterly firewall review.</t>
  </si>
  <si>
    <t xml:space="preserve">8.21</t>
  </si>
  <si>
    <t xml:space="preserve">Security of network services</t>
  </si>
  <si>
    <t xml:space="preserve">All network services inventoried; security requirements agreed with providers; encrypted channels enforced.</t>
  </si>
  <si>
    <t xml:space="preserve">8.22</t>
  </si>
  <si>
    <t xml:space="preserve">Segregation of networks</t>
  </si>
  <si>
    <t xml:space="preserve">Network segments segregated by function (production, user, guest, DMZ); inter-VLAN traffic controlled.</t>
  </si>
  <si>
    <t xml:space="preserve">8.23</t>
  </si>
  <si>
    <t xml:space="preserve">Web filtering</t>
  </si>
  <si>
    <t xml:space="preserve">Web proxy with category-based filtering; blocks malicious, adult, and unauthorised content categories.</t>
  </si>
  <si>
    <t xml:space="preserve">8.24</t>
  </si>
  <si>
    <t xml:space="preserve">Use of cryptography</t>
  </si>
  <si>
    <t xml:space="preserve">Encryption standards defined: AES-256 at rest, TLS 1.2+ in transit; key management via PAM vault.</t>
  </si>
  <si>
    <t xml:space="preserve">8.25</t>
  </si>
  <si>
    <t xml:space="preserve">Secure development lifecycle</t>
  </si>
  <si>
    <t xml:space="preserve">SSDLC principles applied to in-house development; security requirements at design phase; code review.</t>
  </si>
  <si>
    <t xml:space="preserve">8.26</t>
  </si>
  <si>
    <t xml:space="preserve">Application security requirements</t>
  </si>
  <si>
    <t xml:space="preserve">Security requirements documented for all applications; OWASP Top 10 addressed in web-facing apps.</t>
  </si>
  <si>
    <t xml:space="preserve">8.27</t>
  </si>
  <si>
    <t xml:space="preserve">Secure system architecture and engineering principles</t>
  </si>
  <si>
    <t xml:space="preserve">Security-by-design principles applied; architecture review for new systems; least privilege by default.</t>
  </si>
  <si>
    <t xml:space="preserve">8.28</t>
  </si>
  <si>
    <t xml:space="preserve">Secure coding</t>
  </si>
  <si>
    <t xml:space="preserve">Secure coding guidelines adopted; mandatory for in-house development; code review process in place.</t>
  </si>
  <si>
    <t xml:space="preserve">8.29</t>
  </si>
  <si>
    <t xml:space="preserve">Security testing in development and acceptance</t>
  </si>
  <si>
    <t xml:space="preserve">Security testing (SAST, DAST) included in acceptance criteria for new systems; penetration testing annually.</t>
  </si>
  <si>
    <t xml:space="preserve">8.30</t>
  </si>
  <si>
    <t xml:space="preserve">Outsourced development</t>
  </si>
  <si>
    <t xml:space="preserve">Outsourced development subject to secure coding requirements and code review; governed by MS-ISMS-SUP-008.</t>
  </si>
  <si>
    <t xml:space="preserve">8.31</t>
  </si>
  <si>
    <t xml:space="preserve">Separation of development, test and production environments</t>
  </si>
  <si>
    <t xml:space="preserve">Dev, test, and production environments separated; no production data in test without masking.</t>
  </si>
  <si>
    <t xml:space="preserve">8.32</t>
  </si>
  <si>
    <t xml:space="preserve">Change management</t>
  </si>
  <si>
    <t xml:space="preserve">Formal change management process; change advisory board review for significant changes; rollback plans required.</t>
  </si>
  <si>
    <t xml:space="preserve">8.33</t>
  </si>
  <si>
    <t xml:space="preserve">Test information</t>
  </si>
  <si>
    <t xml:space="preserve">Production data not used in testing; masked or synthetic data used; test data disposal tracked.</t>
  </si>
  <si>
    <t xml:space="preserve">8.34</t>
  </si>
  <si>
    <t xml:space="preserve">Protection of information systems during audit testing</t>
  </si>
  <si>
    <t xml:space="preserve">Audit activities agreed in advance; audit tools access-controlled; no disruptive testing in production without approval.</t>
  </si>
  <si>
    <t xml:space="preserve">SoA SUMMARY DASHBOARD  —  Stark Industries  |  ISO/IEC 27001:2022</t>
  </si>
  <si>
    <t xml:space="preserve">Total Controls (ISO 27001:2022)</t>
  </si>
  <si>
    <t xml:space="preserve">Status: Implemented</t>
  </si>
  <si>
    <t xml:space="preserve">Status: Partially Implemented</t>
  </si>
  <si>
    <t xml:space="preserve">Status: Planned</t>
  </si>
  <si>
    <t xml:space="preserve">Status: Not Applicable / Excluded</t>
  </si>
  <si>
    <t xml:space="preserve">Control Sections</t>
  </si>
  <si>
    <t xml:space="preserve">5. Organisational Controls</t>
  </si>
  <si>
    <t xml:space="preserve">37 controls</t>
  </si>
  <si>
    <t xml:space="preserve">6. People Controls</t>
  </si>
  <si>
    <t xml:space="preserve">8 controls</t>
  </si>
  <si>
    <t xml:space="preserve">7. Physical Controls</t>
  </si>
  <si>
    <t xml:space="preserve">14 controls</t>
  </si>
  <si>
    <t xml:space="preserve">8. Technological Controls</t>
  </si>
  <si>
    <t xml:space="preserve">34 controls</t>
  </si>
  <si>
    <t xml:space="preserve">TOTAL</t>
  </si>
  <si>
    <t xml:space="preserve">93 controls</t>
  </si>
  <si>
    <t xml:space="preserve">Prepared by Michael's Security  •  ISO/IEC 27001:2022  •  Document: MS-ISMS-SOA-003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</si>
</sst>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44444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7D4F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i val="true"/>
      <sz val="10"/>
      <color rgb="FF2E5FA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b val="true"/>
      <sz val="14"/>
      <color rgb="FF274E13"/>
      <name val="Arial"/>
      <family val="0"/>
      <charset val="1"/>
    </font>
    <font>
      <b val="true"/>
      <sz val="11"/>
      <color rgb="FF7B0000"/>
      <name val="Arial"/>
      <family val="0"/>
      <charset val="1"/>
    </font>
    <font>
      <b val="true"/>
      <sz val="14"/>
      <color rgb="FF7B0000"/>
      <name val="Arial"/>
      <family val="0"/>
      <charset val="1"/>
    </font>
    <font>
      <b val="true"/>
      <sz val="11"/>
      <color rgb="FF7D4F00"/>
      <name val="Arial"/>
      <family val="0"/>
      <charset val="1"/>
    </font>
    <font>
      <b val="true"/>
      <sz val="14"/>
      <color rgb="FF7D4F00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4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E8B84B"/>
        <bgColor rgb="FFFF9900"/>
      </patternFill>
    </fill>
    <fill>
      <patternFill patternType="solid">
        <fgColor rgb="FFD6E4F0"/>
        <bgColor rgb="FFD9EAD3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5F5F5"/>
      </patternFill>
    </fill>
    <fill>
      <patternFill patternType="solid">
        <fgColor rgb="FFEEEEEE"/>
        <bgColor rgb="FFEEF2F7"/>
      </patternFill>
    </fill>
    <fill>
      <patternFill patternType="solid">
        <fgColor rgb="FFF5F5F5"/>
        <bgColor rgb="FFEEF2F7"/>
      </patternFill>
    </fill>
    <fill>
      <patternFill patternType="solid">
        <fgColor rgb="FFEEF2F7"/>
        <bgColor rgb="FFEEEEEE"/>
      </patternFill>
    </fill>
    <fill>
      <patternFill patternType="solid">
        <fgColor rgb="FFFFFFFF"/>
        <bgColor rgb="FFF5F5F5"/>
      </patternFill>
    </fill>
    <fill>
      <patternFill patternType="solid">
        <fgColor rgb="FFF4CCCC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EEF2F7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9EAD3"/>
      <rgbColor rgb="FFF5F5F5"/>
      <rgbColor rgb="FF99CCFF"/>
      <rgbColor rgb="FFFF99CC"/>
      <rgbColor rgb="FFCC99FF"/>
      <rgbColor rgb="FFF4CCCC"/>
      <rgbColor rgb="FF3366FF"/>
      <rgbColor rgb="FF33CCCC"/>
      <rgbColor rgb="FF99CC00"/>
      <rgbColor rgb="FFE8B84B"/>
      <rgbColor rgb="FFFF9900"/>
      <rgbColor rgb="FFFF6600"/>
      <rgbColor rgb="FF666666"/>
      <rgbColor rgb="FF969696"/>
      <rgbColor rgb="FF1F3864"/>
      <rgbColor rgb="FF339966"/>
      <rgbColor rgb="FF003300"/>
      <rgbColor rgb="FF274E13"/>
      <rgbColor rgb="FF7D4F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39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3" customFormat="false" ht="4.5" hidden="false" customHeight="true" outlineLevel="0" collapsed="false">
      <c r="A3" s="3"/>
      <c r="B3" s="3"/>
    </row>
    <row r="4" customFormat="false" ht="12" hidden="false" customHeight="true" outlineLevel="0" collapsed="false"/>
    <row r="5" customFormat="false" ht="21.75" hidden="false" customHeight="true" outlineLevel="0" collapsed="false">
      <c r="A5" s="4" t="s">
        <v>2</v>
      </c>
      <c r="B5" s="5" t="s">
        <v>3</v>
      </c>
    </row>
    <row r="6" customFormat="false" ht="21.75" hidden="false" customHeight="true" outlineLevel="0" collapsed="false">
      <c r="A6" s="4" t="s">
        <v>4</v>
      </c>
      <c r="B6" s="5" t="s">
        <v>5</v>
      </c>
    </row>
    <row r="7" customFormat="false" ht="21.75" hidden="false" customHeight="true" outlineLevel="0" collapsed="false">
      <c r="A7" s="4" t="s">
        <v>6</v>
      </c>
      <c r="B7" s="5" t="s">
        <v>7</v>
      </c>
    </row>
    <row r="8" customFormat="false" ht="21.75" hidden="false" customHeight="true" outlineLevel="0" collapsed="false">
      <c r="A8" s="4" t="s">
        <v>8</v>
      </c>
      <c r="B8" s="5" t="s">
        <v>9</v>
      </c>
    </row>
    <row r="9" customFormat="false" ht="21.75" hidden="false" customHeight="true" outlineLevel="0" collapsed="false">
      <c r="A9" s="4" t="s">
        <v>10</v>
      </c>
      <c r="B9" s="5" t="s">
        <v>11</v>
      </c>
    </row>
    <row r="10" customFormat="false" ht="21.75" hidden="false" customHeight="true" outlineLevel="0" collapsed="false">
      <c r="A10" s="4" t="s">
        <v>12</v>
      </c>
      <c r="B10" s="5" t="s">
        <v>13</v>
      </c>
    </row>
    <row r="11" customFormat="false" ht="21.75" hidden="false" customHeight="true" outlineLevel="0" collapsed="false">
      <c r="A11" s="4" t="s">
        <v>14</v>
      </c>
      <c r="B11" s="5" t="s">
        <v>15</v>
      </c>
    </row>
    <row r="12" customFormat="false" ht="21.75" hidden="false" customHeight="true" outlineLevel="0" collapsed="false">
      <c r="A12" s="4" t="s">
        <v>16</v>
      </c>
      <c r="B12" s="5" t="s">
        <v>17</v>
      </c>
    </row>
    <row r="13" customFormat="false" ht="21.75" hidden="false" customHeight="true" outlineLevel="0" collapsed="false">
      <c r="A13" s="4" t="s">
        <v>18</v>
      </c>
      <c r="B13" s="5" t="s">
        <v>19</v>
      </c>
    </row>
    <row r="14" customFormat="false" ht="21.75" hidden="false" customHeight="true" outlineLevel="0" collapsed="false">
      <c r="A14" s="4" t="s">
        <v>20</v>
      </c>
      <c r="B14" s="5" t="s">
        <v>21</v>
      </c>
    </row>
    <row r="15" customFormat="false" ht="21.75" hidden="false" customHeight="true" outlineLevel="0" collapsed="false">
      <c r="A15" s="4" t="s">
        <v>22</v>
      </c>
      <c r="B15" s="5" t="s">
        <v>23</v>
      </c>
    </row>
    <row r="16" customFormat="false" ht="21.75" hidden="false" customHeight="true" outlineLevel="0" collapsed="false">
      <c r="A16" s="4" t="s">
        <v>24</v>
      </c>
      <c r="B16" s="5" t="s">
        <v>23</v>
      </c>
    </row>
    <row r="18" customFormat="false" ht="13.5" hidden="false" customHeight="true" outlineLevel="0" collapsed="false"/>
    <row r="19" customFormat="false" ht="21.75" hidden="false" customHeight="true" outlineLevel="0" collapsed="false">
      <c r="A19" s="6" t="s">
        <v>25</v>
      </c>
      <c r="B19" s="6"/>
    </row>
    <row r="20" customFormat="false" ht="24" hidden="false" customHeight="true" outlineLevel="0" collapsed="false">
      <c r="A20" s="7" t="s">
        <v>26</v>
      </c>
      <c r="B20" s="8" t="s">
        <v>27</v>
      </c>
    </row>
    <row r="21" customFormat="false" ht="24" hidden="false" customHeight="true" outlineLevel="0" collapsed="false">
      <c r="A21" s="9" t="s">
        <v>28</v>
      </c>
      <c r="B21" s="10" t="s">
        <v>29</v>
      </c>
    </row>
    <row r="22" customFormat="false" ht="24" hidden="false" customHeight="true" outlineLevel="0" collapsed="false">
      <c r="A22" s="11" t="s">
        <v>30</v>
      </c>
      <c r="B22" s="12" t="s">
        <v>31</v>
      </c>
    </row>
    <row r="23" customFormat="false" ht="24" hidden="false" customHeight="true" outlineLevel="0" collapsed="false">
      <c r="A23" s="13" t="s">
        <v>32</v>
      </c>
      <c r="B23" s="14" t="s">
        <v>33</v>
      </c>
    </row>
    <row r="25" customFormat="false" ht="15.75" hidden="false" customHeight="true" outlineLevel="0" collapsed="false">
      <c r="A25" s="15" t="s">
        <v>34</v>
      </c>
      <c r="B25" s="15"/>
    </row>
  </sheetData>
  <mergeCells count="5">
    <mergeCell ref="A1:B1"/>
    <mergeCell ref="A2:B2"/>
    <mergeCell ref="A3:B3"/>
    <mergeCell ref="A19:B19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F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16" t="s">
        <v>35</v>
      </c>
      <c r="B1" s="16"/>
      <c r="C1" s="16"/>
      <c r="D1" s="16"/>
      <c r="E1" s="16"/>
      <c r="F1" s="16"/>
    </row>
    <row r="2" customFormat="false" ht="31.5" hidden="false" customHeight="true" outlineLevel="0" collapsed="false">
      <c r="A2" s="17" t="s">
        <v>36</v>
      </c>
      <c r="B2" s="17" t="s">
        <v>37</v>
      </c>
      <c r="C2" s="17" t="s">
        <v>38</v>
      </c>
      <c r="D2" s="17" t="s">
        <v>39</v>
      </c>
      <c r="E2" s="17" t="s">
        <v>40</v>
      </c>
      <c r="F2" s="17" t="s">
        <v>41</v>
      </c>
    </row>
    <row r="3" customFormat="false" ht="43.5" hidden="false" customHeight="true" outlineLevel="0" collapsed="false">
      <c r="A3" s="18" t="s">
        <v>42</v>
      </c>
      <c r="B3" s="18"/>
      <c r="C3" s="18"/>
      <c r="D3" s="18"/>
      <c r="E3" s="18"/>
      <c r="F3" s="18"/>
    </row>
    <row r="4" customFormat="false" ht="39.75" hidden="false" customHeight="true" outlineLevel="0" collapsed="false">
      <c r="A4" s="19" t="s">
        <v>43</v>
      </c>
      <c r="B4" s="20" t="s">
        <v>44</v>
      </c>
      <c r="C4" s="21" t="s">
        <v>45</v>
      </c>
      <c r="D4" s="22" t="s">
        <v>46</v>
      </c>
      <c r="E4" s="23" t="s">
        <v>26</v>
      </c>
      <c r="F4" s="24" t="s">
        <v>47</v>
      </c>
    </row>
    <row r="5" customFormat="false" ht="39.75" hidden="false" customHeight="true" outlineLevel="0" collapsed="false">
      <c r="A5" s="19" t="s">
        <v>48</v>
      </c>
      <c r="B5" s="25" t="s">
        <v>49</v>
      </c>
      <c r="C5" s="21" t="s">
        <v>45</v>
      </c>
      <c r="D5" s="26" t="s">
        <v>50</v>
      </c>
      <c r="E5" s="23" t="s">
        <v>26</v>
      </c>
      <c r="F5" s="27" t="s">
        <v>47</v>
      </c>
    </row>
    <row r="6" customFormat="false" ht="39.75" hidden="false" customHeight="true" outlineLevel="0" collapsed="false">
      <c r="A6" s="19" t="s">
        <v>51</v>
      </c>
      <c r="B6" s="20" t="s">
        <v>52</v>
      </c>
      <c r="C6" s="21" t="s">
        <v>45</v>
      </c>
      <c r="D6" s="22" t="s">
        <v>53</v>
      </c>
      <c r="E6" s="23" t="s">
        <v>26</v>
      </c>
      <c r="F6" s="24" t="s">
        <v>54</v>
      </c>
    </row>
    <row r="7" customFormat="false" ht="39.75" hidden="false" customHeight="true" outlineLevel="0" collapsed="false">
      <c r="A7" s="19" t="s">
        <v>55</v>
      </c>
      <c r="B7" s="25" t="s">
        <v>56</v>
      </c>
      <c r="C7" s="21" t="s">
        <v>45</v>
      </c>
      <c r="D7" s="26" t="s">
        <v>57</v>
      </c>
      <c r="E7" s="23" t="s">
        <v>26</v>
      </c>
      <c r="F7" s="27" t="s">
        <v>47</v>
      </c>
    </row>
    <row r="8" customFormat="false" ht="39.75" hidden="false" customHeight="true" outlineLevel="0" collapsed="false">
      <c r="A8" s="19" t="s">
        <v>58</v>
      </c>
      <c r="B8" s="20" t="s">
        <v>59</v>
      </c>
      <c r="C8" s="21" t="s">
        <v>45</v>
      </c>
      <c r="D8" s="22" t="s">
        <v>60</v>
      </c>
      <c r="E8" s="23" t="s">
        <v>26</v>
      </c>
      <c r="F8" s="24" t="s">
        <v>61</v>
      </c>
    </row>
    <row r="9" customFormat="false" ht="39.75" hidden="false" customHeight="true" outlineLevel="0" collapsed="false">
      <c r="A9" s="19" t="s">
        <v>62</v>
      </c>
      <c r="B9" s="25" t="s">
        <v>63</v>
      </c>
      <c r="C9" s="21" t="s">
        <v>45</v>
      </c>
      <c r="D9" s="26" t="s">
        <v>64</v>
      </c>
      <c r="E9" s="23" t="s">
        <v>26</v>
      </c>
      <c r="F9" s="27" t="s">
        <v>65</v>
      </c>
    </row>
    <row r="10" customFormat="false" ht="39.75" hidden="false" customHeight="true" outlineLevel="0" collapsed="false">
      <c r="A10" s="19" t="s">
        <v>66</v>
      </c>
      <c r="B10" s="20" t="s">
        <v>67</v>
      </c>
      <c r="C10" s="21" t="s">
        <v>45</v>
      </c>
      <c r="D10" s="22" t="s">
        <v>68</v>
      </c>
      <c r="E10" s="23" t="s">
        <v>26</v>
      </c>
      <c r="F10" s="24" t="s">
        <v>69</v>
      </c>
    </row>
    <row r="11" customFormat="false" ht="39.75" hidden="false" customHeight="true" outlineLevel="0" collapsed="false">
      <c r="A11" s="19" t="s">
        <v>70</v>
      </c>
      <c r="B11" s="25" t="s">
        <v>71</v>
      </c>
      <c r="C11" s="21" t="s">
        <v>45</v>
      </c>
      <c r="D11" s="26" t="s">
        <v>72</v>
      </c>
      <c r="E11" s="28" t="s">
        <v>28</v>
      </c>
      <c r="F11" s="27" t="s">
        <v>47</v>
      </c>
    </row>
    <row r="12" customFormat="false" ht="39.75" hidden="false" customHeight="true" outlineLevel="0" collapsed="false">
      <c r="A12" s="19" t="s">
        <v>73</v>
      </c>
      <c r="B12" s="20" t="s">
        <v>74</v>
      </c>
      <c r="C12" s="21" t="s">
        <v>45</v>
      </c>
      <c r="D12" s="22" t="s">
        <v>75</v>
      </c>
      <c r="E12" s="23" t="s">
        <v>26</v>
      </c>
      <c r="F12" s="24" t="s">
        <v>76</v>
      </c>
    </row>
    <row r="13" customFormat="false" ht="39.75" hidden="false" customHeight="true" outlineLevel="0" collapsed="false">
      <c r="A13" s="19" t="s">
        <v>77</v>
      </c>
      <c r="B13" s="25" t="s">
        <v>78</v>
      </c>
      <c r="C13" s="21" t="s">
        <v>45</v>
      </c>
      <c r="D13" s="26" t="s">
        <v>79</v>
      </c>
      <c r="E13" s="23" t="s">
        <v>26</v>
      </c>
      <c r="F13" s="27" t="s">
        <v>80</v>
      </c>
    </row>
    <row r="14" customFormat="false" ht="39.75" hidden="false" customHeight="true" outlineLevel="0" collapsed="false">
      <c r="A14" s="19" t="s">
        <v>81</v>
      </c>
      <c r="B14" s="20" t="s">
        <v>82</v>
      </c>
      <c r="C14" s="21" t="s">
        <v>45</v>
      </c>
      <c r="D14" s="22" t="s">
        <v>83</v>
      </c>
      <c r="E14" s="23" t="s">
        <v>26</v>
      </c>
      <c r="F14" s="24" t="s">
        <v>84</v>
      </c>
    </row>
    <row r="15" customFormat="false" ht="39.75" hidden="false" customHeight="true" outlineLevel="0" collapsed="false">
      <c r="A15" s="19" t="s">
        <v>85</v>
      </c>
      <c r="B15" s="25" t="s">
        <v>86</v>
      </c>
      <c r="C15" s="21" t="s">
        <v>45</v>
      </c>
      <c r="D15" s="26" t="s">
        <v>87</v>
      </c>
      <c r="E15" s="23" t="s">
        <v>26</v>
      </c>
      <c r="F15" s="27" t="s">
        <v>88</v>
      </c>
    </row>
    <row r="16" customFormat="false" ht="39.75" hidden="false" customHeight="true" outlineLevel="0" collapsed="false">
      <c r="A16" s="19" t="s">
        <v>89</v>
      </c>
      <c r="B16" s="20" t="s">
        <v>90</v>
      </c>
      <c r="C16" s="21" t="s">
        <v>45</v>
      </c>
      <c r="D16" s="22" t="s">
        <v>91</v>
      </c>
      <c r="E16" s="28" t="s">
        <v>28</v>
      </c>
      <c r="F16" s="24" t="s">
        <v>47</v>
      </c>
    </row>
    <row r="17" customFormat="false" ht="39.75" hidden="false" customHeight="true" outlineLevel="0" collapsed="false">
      <c r="A17" s="19" t="s">
        <v>92</v>
      </c>
      <c r="B17" s="25" t="s">
        <v>93</v>
      </c>
      <c r="C17" s="21" t="s">
        <v>45</v>
      </c>
      <c r="D17" s="26" t="s">
        <v>94</v>
      </c>
      <c r="E17" s="23" t="s">
        <v>26</v>
      </c>
      <c r="F17" s="27" t="s">
        <v>84</v>
      </c>
    </row>
    <row r="18" customFormat="false" ht="39.75" hidden="false" customHeight="true" outlineLevel="0" collapsed="false">
      <c r="A18" s="19" t="s">
        <v>95</v>
      </c>
      <c r="B18" s="20" t="s">
        <v>96</v>
      </c>
      <c r="C18" s="21" t="s">
        <v>45</v>
      </c>
      <c r="D18" s="22" t="s">
        <v>97</v>
      </c>
      <c r="E18" s="23" t="s">
        <v>26</v>
      </c>
      <c r="F18" s="24" t="s">
        <v>84</v>
      </c>
    </row>
    <row r="19" customFormat="false" ht="39.75" hidden="false" customHeight="true" outlineLevel="0" collapsed="false">
      <c r="A19" s="19" t="s">
        <v>98</v>
      </c>
      <c r="B19" s="25" t="s">
        <v>99</v>
      </c>
      <c r="C19" s="21" t="s">
        <v>45</v>
      </c>
      <c r="D19" s="26" t="s">
        <v>100</v>
      </c>
      <c r="E19" s="23" t="s">
        <v>26</v>
      </c>
      <c r="F19" s="27" t="s">
        <v>84</v>
      </c>
    </row>
    <row r="20" customFormat="false" ht="39.75" hidden="false" customHeight="true" outlineLevel="0" collapsed="false">
      <c r="A20" s="19" t="s">
        <v>101</v>
      </c>
      <c r="B20" s="20" t="s">
        <v>102</v>
      </c>
      <c r="C20" s="21" t="s">
        <v>45</v>
      </c>
      <c r="D20" s="22" t="s">
        <v>103</v>
      </c>
      <c r="E20" s="23" t="s">
        <v>26</v>
      </c>
      <c r="F20" s="24" t="s">
        <v>84</v>
      </c>
    </row>
    <row r="21" customFormat="false" ht="39.75" hidden="false" customHeight="true" outlineLevel="0" collapsed="false">
      <c r="A21" s="19" t="s">
        <v>104</v>
      </c>
      <c r="B21" s="25" t="s">
        <v>105</v>
      </c>
      <c r="C21" s="21" t="s">
        <v>45</v>
      </c>
      <c r="D21" s="26" t="s">
        <v>106</v>
      </c>
      <c r="E21" s="23" t="s">
        <v>26</v>
      </c>
      <c r="F21" s="27" t="s">
        <v>84</v>
      </c>
    </row>
    <row r="22" customFormat="false" ht="39.75" hidden="false" customHeight="true" outlineLevel="0" collapsed="false">
      <c r="A22" s="19" t="s">
        <v>107</v>
      </c>
      <c r="B22" s="20" t="s">
        <v>108</v>
      </c>
      <c r="C22" s="21" t="s">
        <v>45</v>
      </c>
      <c r="D22" s="22" t="s">
        <v>109</v>
      </c>
      <c r="E22" s="23" t="s">
        <v>26</v>
      </c>
      <c r="F22" s="24" t="s">
        <v>65</v>
      </c>
    </row>
    <row r="23" customFormat="false" ht="39.75" hidden="false" customHeight="true" outlineLevel="0" collapsed="false">
      <c r="A23" s="19" t="s">
        <v>110</v>
      </c>
      <c r="B23" s="25" t="s">
        <v>111</v>
      </c>
      <c r="C23" s="21" t="s">
        <v>45</v>
      </c>
      <c r="D23" s="26" t="s">
        <v>112</v>
      </c>
      <c r="E23" s="23" t="s">
        <v>26</v>
      </c>
      <c r="F23" s="27" t="s">
        <v>65</v>
      </c>
    </row>
    <row r="24" customFormat="false" ht="39.75" hidden="false" customHeight="true" outlineLevel="0" collapsed="false">
      <c r="A24" s="19" t="s">
        <v>113</v>
      </c>
      <c r="B24" s="20" t="s">
        <v>114</v>
      </c>
      <c r="C24" s="21" t="s">
        <v>45</v>
      </c>
      <c r="D24" s="22" t="s">
        <v>115</v>
      </c>
      <c r="E24" s="23" t="s">
        <v>26</v>
      </c>
      <c r="F24" s="24" t="s">
        <v>65</v>
      </c>
    </row>
    <row r="25" customFormat="false" ht="39.75" hidden="false" customHeight="true" outlineLevel="0" collapsed="false">
      <c r="A25" s="19" t="s">
        <v>116</v>
      </c>
      <c r="B25" s="25" t="s">
        <v>117</v>
      </c>
      <c r="C25" s="21" t="s">
        <v>45</v>
      </c>
      <c r="D25" s="26" t="s">
        <v>118</v>
      </c>
      <c r="E25" s="23" t="s">
        <v>26</v>
      </c>
      <c r="F25" s="27" t="s">
        <v>65</v>
      </c>
    </row>
    <row r="26" customFormat="false" ht="39.75" hidden="false" customHeight="true" outlineLevel="0" collapsed="false">
      <c r="A26" s="19" t="s">
        <v>119</v>
      </c>
      <c r="B26" s="20" t="s">
        <v>120</v>
      </c>
      <c r="C26" s="21" t="s">
        <v>45</v>
      </c>
      <c r="D26" s="22" t="s">
        <v>121</v>
      </c>
      <c r="E26" s="23" t="s">
        <v>26</v>
      </c>
      <c r="F26" s="24" t="s">
        <v>65</v>
      </c>
    </row>
    <row r="27" customFormat="false" ht="39.75" hidden="false" customHeight="true" outlineLevel="0" collapsed="false">
      <c r="A27" s="19" t="s">
        <v>122</v>
      </c>
      <c r="B27" s="25" t="s">
        <v>123</v>
      </c>
      <c r="C27" s="21" t="s">
        <v>45</v>
      </c>
      <c r="D27" s="26" t="s">
        <v>124</v>
      </c>
      <c r="E27" s="23" t="s">
        <v>26</v>
      </c>
      <c r="F27" s="27" t="s">
        <v>61</v>
      </c>
    </row>
    <row r="28" customFormat="false" ht="39.75" hidden="false" customHeight="true" outlineLevel="0" collapsed="false">
      <c r="A28" s="19" t="s">
        <v>125</v>
      </c>
      <c r="B28" s="20" t="s">
        <v>126</v>
      </c>
      <c r="C28" s="21" t="s">
        <v>45</v>
      </c>
      <c r="D28" s="22" t="s">
        <v>127</v>
      </c>
      <c r="E28" s="23" t="s">
        <v>26</v>
      </c>
      <c r="F28" s="24" t="s">
        <v>61</v>
      </c>
    </row>
    <row r="29" customFormat="false" ht="39.75" hidden="false" customHeight="true" outlineLevel="0" collapsed="false">
      <c r="A29" s="19" t="s">
        <v>128</v>
      </c>
      <c r="B29" s="25" t="s">
        <v>129</v>
      </c>
      <c r="C29" s="21" t="s">
        <v>45</v>
      </c>
      <c r="D29" s="26" t="s">
        <v>130</v>
      </c>
      <c r="E29" s="23" t="s">
        <v>26</v>
      </c>
      <c r="F29" s="27" t="s">
        <v>61</v>
      </c>
    </row>
    <row r="30" customFormat="false" ht="39.75" hidden="false" customHeight="true" outlineLevel="0" collapsed="false">
      <c r="A30" s="19" t="s">
        <v>131</v>
      </c>
      <c r="B30" s="20" t="s">
        <v>132</v>
      </c>
      <c r="C30" s="21" t="s">
        <v>45</v>
      </c>
      <c r="D30" s="22" t="s">
        <v>133</v>
      </c>
      <c r="E30" s="23" t="s">
        <v>26</v>
      </c>
      <c r="F30" s="24" t="s">
        <v>61</v>
      </c>
    </row>
    <row r="31" customFormat="false" ht="39.75" hidden="false" customHeight="true" outlineLevel="0" collapsed="false">
      <c r="A31" s="19" t="s">
        <v>134</v>
      </c>
      <c r="B31" s="25" t="s">
        <v>135</v>
      </c>
      <c r="C31" s="21" t="s">
        <v>45</v>
      </c>
      <c r="D31" s="26" t="s">
        <v>136</v>
      </c>
      <c r="E31" s="23" t="s">
        <v>26</v>
      </c>
      <c r="F31" s="27" t="s">
        <v>61</v>
      </c>
    </row>
    <row r="32" customFormat="false" ht="39.75" hidden="false" customHeight="true" outlineLevel="0" collapsed="false">
      <c r="A32" s="19" t="s">
        <v>137</v>
      </c>
      <c r="B32" s="20" t="s">
        <v>138</v>
      </c>
      <c r="C32" s="21" t="s">
        <v>45</v>
      </c>
      <c r="D32" s="22" t="s">
        <v>139</v>
      </c>
      <c r="E32" s="23" t="s">
        <v>26</v>
      </c>
      <c r="F32" s="24" t="s">
        <v>140</v>
      </c>
    </row>
    <row r="33" customFormat="false" ht="39.75" hidden="false" customHeight="true" outlineLevel="0" collapsed="false">
      <c r="A33" s="19" t="s">
        <v>141</v>
      </c>
      <c r="B33" s="25" t="s">
        <v>142</v>
      </c>
      <c r="C33" s="21" t="s">
        <v>45</v>
      </c>
      <c r="D33" s="26" t="s">
        <v>143</v>
      </c>
      <c r="E33" s="23" t="s">
        <v>26</v>
      </c>
      <c r="F33" s="27" t="s">
        <v>140</v>
      </c>
    </row>
    <row r="34" customFormat="false" ht="39.75" hidden="false" customHeight="true" outlineLevel="0" collapsed="false">
      <c r="A34" s="19" t="s">
        <v>144</v>
      </c>
      <c r="B34" s="20" t="s">
        <v>145</v>
      </c>
      <c r="C34" s="21" t="s">
        <v>45</v>
      </c>
      <c r="D34" s="22" t="s">
        <v>146</v>
      </c>
      <c r="E34" s="23" t="s">
        <v>26</v>
      </c>
      <c r="F34" s="24" t="s">
        <v>47</v>
      </c>
    </row>
    <row r="35" customFormat="false" ht="39.75" hidden="false" customHeight="true" outlineLevel="0" collapsed="false">
      <c r="A35" s="19" t="s">
        <v>147</v>
      </c>
      <c r="B35" s="25" t="s">
        <v>148</v>
      </c>
      <c r="C35" s="21" t="s">
        <v>45</v>
      </c>
      <c r="D35" s="26" t="s">
        <v>149</v>
      </c>
      <c r="E35" s="23" t="s">
        <v>26</v>
      </c>
      <c r="F35" s="27" t="s">
        <v>76</v>
      </c>
    </row>
    <row r="36" customFormat="false" ht="39.75" hidden="false" customHeight="true" outlineLevel="0" collapsed="false">
      <c r="A36" s="19" t="s">
        <v>150</v>
      </c>
      <c r="B36" s="20" t="s">
        <v>151</v>
      </c>
      <c r="C36" s="21" t="s">
        <v>45</v>
      </c>
      <c r="D36" s="22" t="s">
        <v>152</v>
      </c>
      <c r="E36" s="23" t="s">
        <v>26</v>
      </c>
      <c r="F36" s="24" t="s">
        <v>47</v>
      </c>
    </row>
    <row r="37" customFormat="false" ht="39.75" hidden="false" customHeight="true" outlineLevel="0" collapsed="false">
      <c r="A37" s="19" t="s">
        <v>153</v>
      </c>
      <c r="B37" s="25" t="s">
        <v>154</v>
      </c>
      <c r="C37" s="21" t="s">
        <v>45</v>
      </c>
      <c r="D37" s="26" t="s">
        <v>155</v>
      </c>
      <c r="E37" s="23" t="s">
        <v>26</v>
      </c>
      <c r="F37" s="27" t="s">
        <v>156</v>
      </c>
    </row>
    <row r="38" customFormat="false" ht="39.75" hidden="false" customHeight="true" outlineLevel="0" collapsed="false">
      <c r="A38" s="19" t="s">
        <v>157</v>
      </c>
      <c r="B38" s="20" t="s">
        <v>158</v>
      </c>
      <c r="C38" s="21" t="s">
        <v>45</v>
      </c>
      <c r="D38" s="22" t="s">
        <v>159</v>
      </c>
      <c r="E38" s="23" t="s">
        <v>26</v>
      </c>
      <c r="F38" s="24" t="s">
        <v>160</v>
      </c>
    </row>
    <row r="39" customFormat="false" ht="39.75" hidden="false" customHeight="true" outlineLevel="0" collapsed="false">
      <c r="A39" s="19" t="s">
        <v>161</v>
      </c>
      <c r="B39" s="25" t="s">
        <v>162</v>
      </c>
      <c r="C39" s="21" t="s">
        <v>45</v>
      </c>
      <c r="D39" s="26" t="s">
        <v>163</v>
      </c>
      <c r="E39" s="23" t="s">
        <v>26</v>
      </c>
      <c r="F39" s="27" t="s">
        <v>160</v>
      </c>
    </row>
    <row r="40" customFormat="false" ht="39.75" hidden="false" customHeight="true" outlineLevel="0" collapsed="false">
      <c r="A40" s="19" t="s">
        <v>164</v>
      </c>
      <c r="B40" s="20" t="s">
        <v>165</v>
      </c>
      <c r="C40" s="21" t="s">
        <v>45</v>
      </c>
      <c r="D40" s="22" t="s">
        <v>166</v>
      </c>
      <c r="E40" s="28" t="s">
        <v>28</v>
      </c>
      <c r="F40" s="24" t="s">
        <v>47</v>
      </c>
    </row>
    <row r="41" customFormat="false" ht="43.5" hidden="false" customHeight="true" outlineLevel="0" collapsed="false">
      <c r="A41" s="18" t="s">
        <v>167</v>
      </c>
      <c r="B41" s="18"/>
      <c r="C41" s="18"/>
      <c r="D41" s="18"/>
      <c r="E41" s="18"/>
      <c r="F41" s="18"/>
    </row>
    <row r="42" customFormat="false" ht="39.75" hidden="false" customHeight="true" outlineLevel="0" collapsed="false">
      <c r="A42" s="19" t="s">
        <v>168</v>
      </c>
      <c r="B42" s="20" t="s">
        <v>169</v>
      </c>
      <c r="C42" s="21" t="s">
        <v>45</v>
      </c>
      <c r="D42" s="22" t="s">
        <v>170</v>
      </c>
      <c r="E42" s="23" t="s">
        <v>26</v>
      </c>
      <c r="F42" s="24" t="s">
        <v>47</v>
      </c>
    </row>
    <row r="43" customFormat="false" ht="39.75" hidden="false" customHeight="true" outlineLevel="0" collapsed="false">
      <c r="A43" s="19" t="s">
        <v>171</v>
      </c>
      <c r="B43" s="25" t="s">
        <v>172</v>
      </c>
      <c r="C43" s="21" t="s">
        <v>45</v>
      </c>
      <c r="D43" s="26" t="s">
        <v>173</v>
      </c>
      <c r="E43" s="23" t="s">
        <v>26</v>
      </c>
      <c r="F43" s="27" t="s">
        <v>47</v>
      </c>
    </row>
    <row r="44" customFormat="false" ht="39.75" hidden="false" customHeight="true" outlineLevel="0" collapsed="false">
      <c r="A44" s="19" t="s">
        <v>174</v>
      </c>
      <c r="B44" s="20" t="s">
        <v>175</v>
      </c>
      <c r="C44" s="21" t="s">
        <v>45</v>
      </c>
      <c r="D44" s="22" t="s">
        <v>176</v>
      </c>
      <c r="E44" s="23" t="s">
        <v>26</v>
      </c>
      <c r="F44" s="24" t="s">
        <v>177</v>
      </c>
    </row>
    <row r="45" customFormat="false" ht="39.75" hidden="false" customHeight="true" outlineLevel="0" collapsed="false">
      <c r="A45" s="19" t="s">
        <v>178</v>
      </c>
      <c r="B45" s="25" t="s">
        <v>179</v>
      </c>
      <c r="C45" s="21" t="s">
        <v>45</v>
      </c>
      <c r="D45" s="26" t="s">
        <v>180</v>
      </c>
      <c r="E45" s="23" t="s">
        <v>26</v>
      </c>
      <c r="F45" s="27" t="s">
        <v>47</v>
      </c>
    </row>
    <row r="46" customFormat="false" ht="39.75" hidden="false" customHeight="true" outlineLevel="0" collapsed="false">
      <c r="A46" s="19" t="s">
        <v>181</v>
      </c>
      <c r="B46" s="20" t="s">
        <v>182</v>
      </c>
      <c r="C46" s="21" t="s">
        <v>45</v>
      </c>
      <c r="D46" s="22" t="s">
        <v>183</v>
      </c>
      <c r="E46" s="23" t="s">
        <v>26</v>
      </c>
      <c r="F46" s="24" t="s">
        <v>84</v>
      </c>
    </row>
    <row r="47" customFormat="false" ht="39.75" hidden="false" customHeight="true" outlineLevel="0" collapsed="false">
      <c r="A47" s="19" t="s">
        <v>184</v>
      </c>
      <c r="B47" s="25" t="s">
        <v>185</v>
      </c>
      <c r="C47" s="21" t="s">
        <v>45</v>
      </c>
      <c r="D47" s="26" t="s">
        <v>186</v>
      </c>
      <c r="E47" s="23" t="s">
        <v>26</v>
      </c>
      <c r="F47" s="27" t="s">
        <v>65</v>
      </c>
    </row>
    <row r="48" customFormat="false" ht="39.75" hidden="false" customHeight="true" outlineLevel="0" collapsed="false">
      <c r="A48" s="19" t="s">
        <v>187</v>
      </c>
      <c r="B48" s="20" t="s">
        <v>188</v>
      </c>
      <c r="C48" s="21" t="s">
        <v>45</v>
      </c>
      <c r="D48" s="22" t="s">
        <v>189</v>
      </c>
      <c r="E48" s="23" t="s">
        <v>26</v>
      </c>
      <c r="F48" s="24" t="s">
        <v>84</v>
      </c>
    </row>
    <row r="49" customFormat="false" ht="39.75" hidden="false" customHeight="true" outlineLevel="0" collapsed="false">
      <c r="A49" s="19" t="s">
        <v>190</v>
      </c>
      <c r="B49" s="25" t="s">
        <v>191</v>
      </c>
      <c r="C49" s="21" t="s">
        <v>45</v>
      </c>
      <c r="D49" s="26" t="s">
        <v>192</v>
      </c>
      <c r="E49" s="23" t="s">
        <v>26</v>
      </c>
      <c r="F49" s="27" t="s">
        <v>193</v>
      </c>
    </row>
    <row r="50" customFormat="false" ht="43.5" hidden="false" customHeight="true" outlineLevel="0" collapsed="false">
      <c r="A50" s="18" t="s">
        <v>194</v>
      </c>
      <c r="B50" s="18"/>
      <c r="C50" s="18"/>
      <c r="D50" s="18"/>
      <c r="E50" s="18"/>
      <c r="F50" s="18"/>
    </row>
    <row r="51" customFormat="false" ht="39.75" hidden="false" customHeight="true" outlineLevel="0" collapsed="false">
      <c r="A51" s="19" t="s">
        <v>195</v>
      </c>
      <c r="B51" s="25" t="s">
        <v>196</v>
      </c>
      <c r="C51" s="21" t="s">
        <v>45</v>
      </c>
      <c r="D51" s="26" t="s">
        <v>197</v>
      </c>
      <c r="E51" s="23" t="s">
        <v>26</v>
      </c>
      <c r="F51" s="27" t="s">
        <v>47</v>
      </c>
    </row>
    <row r="52" customFormat="false" ht="39.75" hidden="false" customHeight="true" outlineLevel="0" collapsed="false">
      <c r="A52" s="19" t="s">
        <v>198</v>
      </c>
      <c r="B52" s="20" t="s">
        <v>199</v>
      </c>
      <c r="C52" s="21" t="s">
        <v>45</v>
      </c>
      <c r="D52" s="22" t="s">
        <v>200</v>
      </c>
      <c r="E52" s="23" t="s">
        <v>26</v>
      </c>
      <c r="F52" s="24" t="s">
        <v>177</v>
      </c>
    </row>
    <row r="53" customFormat="false" ht="39.75" hidden="false" customHeight="true" outlineLevel="0" collapsed="false">
      <c r="A53" s="19" t="s">
        <v>201</v>
      </c>
      <c r="B53" s="25" t="s">
        <v>202</v>
      </c>
      <c r="C53" s="21" t="s">
        <v>45</v>
      </c>
      <c r="D53" s="26" t="s">
        <v>203</v>
      </c>
      <c r="E53" s="23" t="s">
        <v>26</v>
      </c>
      <c r="F53" s="27" t="s">
        <v>47</v>
      </c>
    </row>
    <row r="54" customFormat="false" ht="39.75" hidden="false" customHeight="true" outlineLevel="0" collapsed="false">
      <c r="A54" s="19" t="s">
        <v>204</v>
      </c>
      <c r="B54" s="20" t="s">
        <v>205</v>
      </c>
      <c r="C54" s="21" t="s">
        <v>45</v>
      </c>
      <c r="D54" s="22" t="s">
        <v>206</v>
      </c>
      <c r="E54" s="23" t="s">
        <v>26</v>
      </c>
      <c r="F54" s="24" t="s">
        <v>76</v>
      </c>
    </row>
    <row r="55" customFormat="false" ht="39.75" hidden="false" customHeight="true" outlineLevel="0" collapsed="false">
      <c r="A55" s="19" t="s">
        <v>207</v>
      </c>
      <c r="B55" s="25" t="s">
        <v>208</v>
      </c>
      <c r="C55" s="21" t="s">
        <v>45</v>
      </c>
      <c r="D55" s="26" t="s">
        <v>209</v>
      </c>
      <c r="E55" s="23" t="s">
        <v>26</v>
      </c>
      <c r="F55" s="27" t="s">
        <v>140</v>
      </c>
    </row>
    <row r="56" customFormat="false" ht="39.75" hidden="false" customHeight="true" outlineLevel="0" collapsed="false">
      <c r="A56" s="19" t="s">
        <v>210</v>
      </c>
      <c r="B56" s="20" t="s">
        <v>211</v>
      </c>
      <c r="C56" s="21" t="s">
        <v>45</v>
      </c>
      <c r="D56" s="22" t="s">
        <v>212</v>
      </c>
      <c r="E56" s="23" t="s">
        <v>26</v>
      </c>
      <c r="F56" s="24" t="s">
        <v>47</v>
      </c>
    </row>
    <row r="57" customFormat="false" ht="39.75" hidden="false" customHeight="true" outlineLevel="0" collapsed="false">
      <c r="A57" s="19" t="s">
        <v>213</v>
      </c>
      <c r="B57" s="25" t="s">
        <v>214</v>
      </c>
      <c r="C57" s="21" t="s">
        <v>45</v>
      </c>
      <c r="D57" s="26" t="s">
        <v>215</v>
      </c>
      <c r="E57" s="23" t="s">
        <v>26</v>
      </c>
      <c r="F57" s="27" t="s">
        <v>47</v>
      </c>
    </row>
    <row r="58" customFormat="false" ht="39.75" hidden="false" customHeight="true" outlineLevel="0" collapsed="false">
      <c r="A58" s="19" t="s">
        <v>216</v>
      </c>
      <c r="B58" s="20" t="s">
        <v>217</v>
      </c>
      <c r="C58" s="21" t="s">
        <v>45</v>
      </c>
      <c r="D58" s="22" t="s">
        <v>218</v>
      </c>
      <c r="E58" s="23" t="s">
        <v>26</v>
      </c>
      <c r="F58" s="24" t="s">
        <v>76</v>
      </c>
    </row>
    <row r="59" customFormat="false" ht="39.75" hidden="false" customHeight="true" outlineLevel="0" collapsed="false">
      <c r="A59" s="19" t="s">
        <v>219</v>
      </c>
      <c r="B59" s="25" t="s">
        <v>220</v>
      </c>
      <c r="C59" s="21" t="s">
        <v>45</v>
      </c>
      <c r="D59" s="26" t="s">
        <v>221</v>
      </c>
      <c r="E59" s="23" t="s">
        <v>26</v>
      </c>
      <c r="F59" s="27" t="s">
        <v>84</v>
      </c>
    </row>
    <row r="60" customFormat="false" ht="39.75" hidden="false" customHeight="true" outlineLevel="0" collapsed="false">
      <c r="A60" s="19" t="s">
        <v>222</v>
      </c>
      <c r="B60" s="20" t="s">
        <v>223</v>
      </c>
      <c r="C60" s="21" t="s">
        <v>45</v>
      </c>
      <c r="D60" s="22" t="s">
        <v>224</v>
      </c>
      <c r="E60" s="23" t="s">
        <v>26</v>
      </c>
      <c r="F60" s="24" t="s">
        <v>76</v>
      </c>
    </row>
    <row r="61" customFormat="false" ht="39.75" hidden="false" customHeight="true" outlineLevel="0" collapsed="false">
      <c r="A61" s="19" t="s">
        <v>225</v>
      </c>
      <c r="B61" s="25" t="s">
        <v>226</v>
      </c>
      <c r="C61" s="21" t="s">
        <v>45</v>
      </c>
      <c r="D61" s="26" t="s">
        <v>227</v>
      </c>
      <c r="E61" s="23" t="s">
        <v>26</v>
      </c>
      <c r="F61" s="27" t="s">
        <v>140</v>
      </c>
    </row>
    <row r="62" customFormat="false" ht="39.75" hidden="false" customHeight="true" outlineLevel="0" collapsed="false">
      <c r="A62" s="19" t="s">
        <v>228</v>
      </c>
      <c r="B62" s="20" t="s">
        <v>229</v>
      </c>
      <c r="C62" s="21" t="s">
        <v>45</v>
      </c>
      <c r="D62" s="22" t="s">
        <v>230</v>
      </c>
      <c r="E62" s="23" t="s">
        <v>26</v>
      </c>
      <c r="F62" s="24" t="s">
        <v>47</v>
      </c>
    </row>
    <row r="63" customFormat="false" ht="39.75" hidden="false" customHeight="true" outlineLevel="0" collapsed="false">
      <c r="A63" s="19" t="s">
        <v>231</v>
      </c>
      <c r="B63" s="25" t="s">
        <v>232</v>
      </c>
      <c r="C63" s="21" t="s">
        <v>45</v>
      </c>
      <c r="D63" s="26" t="s">
        <v>233</v>
      </c>
      <c r="E63" s="23" t="s">
        <v>26</v>
      </c>
      <c r="F63" s="27" t="s">
        <v>76</v>
      </c>
    </row>
    <row r="64" customFormat="false" ht="39.75" hidden="false" customHeight="true" outlineLevel="0" collapsed="false">
      <c r="A64" s="19" t="s">
        <v>234</v>
      </c>
      <c r="B64" s="20" t="s">
        <v>235</v>
      </c>
      <c r="C64" s="21" t="s">
        <v>45</v>
      </c>
      <c r="D64" s="22" t="s">
        <v>236</v>
      </c>
      <c r="E64" s="23" t="s">
        <v>26</v>
      </c>
      <c r="F64" s="24" t="s">
        <v>76</v>
      </c>
    </row>
    <row r="65" customFormat="false" ht="43.5" hidden="false" customHeight="true" outlineLevel="0" collapsed="false">
      <c r="A65" s="18" t="s">
        <v>237</v>
      </c>
      <c r="B65" s="18"/>
      <c r="C65" s="18"/>
      <c r="D65" s="18"/>
      <c r="E65" s="18"/>
      <c r="F65" s="18"/>
    </row>
    <row r="66" customFormat="false" ht="39.75" hidden="false" customHeight="true" outlineLevel="0" collapsed="false">
      <c r="A66" s="19" t="s">
        <v>238</v>
      </c>
      <c r="B66" s="20" t="s">
        <v>239</v>
      </c>
      <c r="C66" s="21" t="s">
        <v>45</v>
      </c>
      <c r="D66" s="22" t="s">
        <v>240</v>
      </c>
      <c r="E66" s="23" t="s">
        <v>26</v>
      </c>
      <c r="F66" s="24" t="s">
        <v>84</v>
      </c>
    </row>
    <row r="67" customFormat="false" ht="39.75" hidden="false" customHeight="true" outlineLevel="0" collapsed="false">
      <c r="A67" s="19" t="s">
        <v>241</v>
      </c>
      <c r="B67" s="25" t="s">
        <v>242</v>
      </c>
      <c r="C67" s="21" t="s">
        <v>45</v>
      </c>
      <c r="D67" s="26" t="s">
        <v>243</v>
      </c>
      <c r="E67" s="23" t="s">
        <v>26</v>
      </c>
      <c r="F67" s="27" t="s">
        <v>84</v>
      </c>
    </row>
    <row r="68" customFormat="false" ht="39.75" hidden="false" customHeight="true" outlineLevel="0" collapsed="false">
      <c r="A68" s="19" t="s">
        <v>244</v>
      </c>
      <c r="B68" s="20" t="s">
        <v>245</v>
      </c>
      <c r="C68" s="21" t="s">
        <v>45</v>
      </c>
      <c r="D68" s="22" t="s">
        <v>246</v>
      </c>
      <c r="E68" s="23" t="s">
        <v>26</v>
      </c>
      <c r="F68" s="24" t="s">
        <v>84</v>
      </c>
    </row>
    <row r="69" customFormat="false" ht="39.75" hidden="false" customHeight="true" outlineLevel="0" collapsed="false">
      <c r="A69" s="19" t="s">
        <v>247</v>
      </c>
      <c r="B69" s="25" t="s">
        <v>248</v>
      </c>
      <c r="C69" s="21" t="s">
        <v>45</v>
      </c>
      <c r="D69" s="26" t="s">
        <v>249</v>
      </c>
      <c r="E69" s="23" t="s">
        <v>26</v>
      </c>
      <c r="F69" s="27" t="s">
        <v>84</v>
      </c>
    </row>
    <row r="70" customFormat="false" ht="39.75" hidden="false" customHeight="true" outlineLevel="0" collapsed="false">
      <c r="A70" s="19" t="s">
        <v>250</v>
      </c>
      <c r="B70" s="20" t="s">
        <v>251</v>
      </c>
      <c r="C70" s="21" t="s">
        <v>45</v>
      </c>
      <c r="D70" s="22" t="s">
        <v>252</v>
      </c>
      <c r="E70" s="23" t="s">
        <v>26</v>
      </c>
      <c r="F70" s="24" t="s">
        <v>84</v>
      </c>
    </row>
    <row r="71" customFormat="false" ht="39.75" hidden="false" customHeight="true" outlineLevel="0" collapsed="false">
      <c r="A71" s="19" t="s">
        <v>253</v>
      </c>
      <c r="B71" s="25" t="s">
        <v>254</v>
      </c>
      <c r="C71" s="21" t="s">
        <v>45</v>
      </c>
      <c r="D71" s="26" t="s">
        <v>255</v>
      </c>
      <c r="E71" s="23" t="s">
        <v>26</v>
      </c>
      <c r="F71" s="27" t="s">
        <v>140</v>
      </c>
    </row>
    <row r="72" customFormat="false" ht="39.75" hidden="false" customHeight="true" outlineLevel="0" collapsed="false">
      <c r="A72" s="19" t="s">
        <v>256</v>
      </c>
      <c r="B72" s="20" t="s">
        <v>257</v>
      </c>
      <c r="C72" s="21" t="s">
        <v>45</v>
      </c>
      <c r="D72" s="22" t="s">
        <v>258</v>
      </c>
      <c r="E72" s="23" t="s">
        <v>26</v>
      </c>
      <c r="F72" s="24" t="s">
        <v>76</v>
      </c>
    </row>
    <row r="73" customFormat="false" ht="39.75" hidden="false" customHeight="true" outlineLevel="0" collapsed="false">
      <c r="A73" s="19" t="s">
        <v>259</v>
      </c>
      <c r="B73" s="25" t="s">
        <v>260</v>
      </c>
      <c r="C73" s="21" t="s">
        <v>45</v>
      </c>
      <c r="D73" s="26" t="s">
        <v>261</v>
      </c>
      <c r="E73" s="23" t="s">
        <v>26</v>
      </c>
      <c r="F73" s="27" t="s">
        <v>65</v>
      </c>
    </row>
    <row r="74" customFormat="false" ht="39.75" hidden="false" customHeight="true" outlineLevel="0" collapsed="false">
      <c r="A74" s="19" t="s">
        <v>262</v>
      </c>
      <c r="B74" s="20" t="s">
        <v>263</v>
      </c>
      <c r="C74" s="21" t="s">
        <v>45</v>
      </c>
      <c r="D74" s="22" t="s">
        <v>264</v>
      </c>
      <c r="E74" s="23" t="s">
        <v>26</v>
      </c>
      <c r="F74" s="24" t="s">
        <v>47</v>
      </c>
    </row>
    <row r="75" customFormat="false" ht="39.75" hidden="false" customHeight="true" outlineLevel="0" collapsed="false">
      <c r="A75" s="19" t="s">
        <v>265</v>
      </c>
      <c r="B75" s="25" t="s">
        <v>266</v>
      </c>
      <c r="C75" s="21" t="s">
        <v>45</v>
      </c>
      <c r="D75" s="26" t="s">
        <v>267</v>
      </c>
      <c r="E75" s="23" t="s">
        <v>26</v>
      </c>
      <c r="F75" s="27" t="s">
        <v>47</v>
      </c>
    </row>
    <row r="76" customFormat="false" ht="39.75" hidden="false" customHeight="true" outlineLevel="0" collapsed="false">
      <c r="A76" s="19" t="s">
        <v>268</v>
      </c>
      <c r="B76" s="20" t="s">
        <v>269</v>
      </c>
      <c r="C76" s="21" t="s">
        <v>45</v>
      </c>
      <c r="D76" s="22" t="s">
        <v>270</v>
      </c>
      <c r="E76" s="28" t="s">
        <v>28</v>
      </c>
      <c r="F76" s="24" t="s">
        <v>47</v>
      </c>
    </row>
    <row r="77" customFormat="false" ht="39.75" hidden="false" customHeight="true" outlineLevel="0" collapsed="false">
      <c r="A77" s="19" t="s">
        <v>271</v>
      </c>
      <c r="B77" s="25" t="s">
        <v>272</v>
      </c>
      <c r="C77" s="21" t="s">
        <v>45</v>
      </c>
      <c r="D77" s="26" t="s">
        <v>273</v>
      </c>
      <c r="E77" s="23" t="s">
        <v>26</v>
      </c>
      <c r="F77" s="27" t="s">
        <v>84</v>
      </c>
    </row>
    <row r="78" customFormat="false" ht="39.75" hidden="false" customHeight="true" outlineLevel="0" collapsed="false">
      <c r="A78" s="19" t="s">
        <v>274</v>
      </c>
      <c r="B78" s="20" t="s">
        <v>275</v>
      </c>
      <c r="C78" s="21" t="s">
        <v>45</v>
      </c>
      <c r="D78" s="22" t="s">
        <v>276</v>
      </c>
      <c r="E78" s="23" t="s">
        <v>26</v>
      </c>
      <c r="F78" s="24" t="s">
        <v>140</v>
      </c>
    </row>
    <row r="79" customFormat="false" ht="39.75" hidden="false" customHeight="true" outlineLevel="0" collapsed="false">
      <c r="A79" s="19" t="s">
        <v>277</v>
      </c>
      <c r="B79" s="25" t="s">
        <v>278</v>
      </c>
      <c r="C79" s="21" t="s">
        <v>45</v>
      </c>
      <c r="D79" s="26" t="s">
        <v>279</v>
      </c>
      <c r="E79" s="23" t="s">
        <v>26</v>
      </c>
      <c r="F79" s="27" t="s">
        <v>140</v>
      </c>
    </row>
    <row r="80" customFormat="false" ht="39.75" hidden="false" customHeight="true" outlineLevel="0" collapsed="false">
      <c r="A80" s="19" t="s">
        <v>280</v>
      </c>
      <c r="B80" s="20" t="s">
        <v>281</v>
      </c>
      <c r="C80" s="21" t="s">
        <v>45</v>
      </c>
      <c r="D80" s="22" t="s">
        <v>282</v>
      </c>
      <c r="E80" s="23" t="s">
        <v>26</v>
      </c>
      <c r="F80" s="24" t="s">
        <v>84</v>
      </c>
    </row>
    <row r="81" customFormat="false" ht="39.75" hidden="false" customHeight="true" outlineLevel="0" collapsed="false">
      <c r="A81" s="19" t="s">
        <v>283</v>
      </c>
      <c r="B81" s="25" t="s">
        <v>284</v>
      </c>
      <c r="C81" s="21" t="s">
        <v>45</v>
      </c>
      <c r="D81" s="26" t="s">
        <v>285</v>
      </c>
      <c r="E81" s="23" t="s">
        <v>26</v>
      </c>
      <c r="F81" s="27" t="s">
        <v>65</v>
      </c>
    </row>
    <row r="82" customFormat="false" ht="39.75" hidden="false" customHeight="true" outlineLevel="0" collapsed="false">
      <c r="A82" s="19" t="s">
        <v>286</v>
      </c>
      <c r="B82" s="20" t="s">
        <v>287</v>
      </c>
      <c r="C82" s="21" t="s">
        <v>45</v>
      </c>
      <c r="D82" s="22" t="s">
        <v>288</v>
      </c>
      <c r="E82" s="23" t="s">
        <v>26</v>
      </c>
      <c r="F82" s="24" t="s">
        <v>47</v>
      </c>
    </row>
    <row r="83" customFormat="false" ht="39.75" hidden="false" customHeight="true" outlineLevel="0" collapsed="false">
      <c r="A83" s="19" t="s">
        <v>289</v>
      </c>
      <c r="B83" s="25" t="s">
        <v>290</v>
      </c>
      <c r="C83" s="21" t="s">
        <v>45</v>
      </c>
      <c r="D83" s="26" t="s">
        <v>291</v>
      </c>
      <c r="E83" s="23" t="s">
        <v>26</v>
      </c>
      <c r="F83" s="27" t="s">
        <v>84</v>
      </c>
    </row>
    <row r="84" customFormat="false" ht="39.75" hidden="false" customHeight="true" outlineLevel="0" collapsed="false">
      <c r="A84" s="19" t="s">
        <v>292</v>
      </c>
      <c r="B84" s="20" t="s">
        <v>293</v>
      </c>
      <c r="C84" s="21" t="s">
        <v>45</v>
      </c>
      <c r="D84" s="22" t="s">
        <v>294</v>
      </c>
      <c r="E84" s="23" t="s">
        <v>26</v>
      </c>
      <c r="F84" s="24" t="s">
        <v>84</v>
      </c>
    </row>
    <row r="85" customFormat="false" ht="39.75" hidden="false" customHeight="true" outlineLevel="0" collapsed="false">
      <c r="A85" s="19" t="s">
        <v>295</v>
      </c>
      <c r="B85" s="25" t="s">
        <v>296</v>
      </c>
      <c r="C85" s="21" t="s">
        <v>45</v>
      </c>
      <c r="D85" s="26" t="s">
        <v>297</v>
      </c>
      <c r="E85" s="23" t="s">
        <v>26</v>
      </c>
      <c r="F85" s="27" t="s">
        <v>47</v>
      </c>
    </row>
    <row r="86" customFormat="false" ht="39.75" hidden="false" customHeight="true" outlineLevel="0" collapsed="false">
      <c r="A86" s="19" t="s">
        <v>298</v>
      </c>
      <c r="B86" s="20" t="s">
        <v>299</v>
      </c>
      <c r="C86" s="21" t="s">
        <v>45</v>
      </c>
      <c r="D86" s="22" t="s">
        <v>300</v>
      </c>
      <c r="E86" s="23" t="s">
        <v>26</v>
      </c>
      <c r="F86" s="24" t="s">
        <v>65</v>
      </c>
    </row>
    <row r="87" customFormat="false" ht="39.75" hidden="false" customHeight="true" outlineLevel="0" collapsed="false">
      <c r="A87" s="19" t="s">
        <v>301</v>
      </c>
      <c r="B87" s="25" t="s">
        <v>302</v>
      </c>
      <c r="C87" s="21" t="s">
        <v>45</v>
      </c>
      <c r="D87" s="26" t="s">
        <v>303</v>
      </c>
      <c r="E87" s="23" t="s">
        <v>26</v>
      </c>
      <c r="F87" s="27" t="s">
        <v>47</v>
      </c>
    </row>
    <row r="88" customFormat="false" ht="39.75" hidden="false" customHeight="true" outlineLevel="0" collapsed="false">
      <c r="A88" s="19" t="s">
        <v>304</v>
      </c>
      <c r="B88" s="20" t="s">
        <v>305</v>
      </c>
      <c r="C88" s="21" t="s">
        <v>45</v>
      </c>
      <c r="D88" s="22" t="s">
        <v>306</v>
      </c>
      <c r="E88" s="23" t="s">
        <v>26</v>
      </c>
      <c r="F88" s="24" t="s">
        <v>47</v>
      </c>
    </row>
    <row r="89" customFormat="false" ht="39.75" hidden="false" customHeight="true" outlineLevel="0" collapsed="false">
      <c r="A89" s="19" t="s">
        <v>307</v>
      </c>
      <c r="B89" s="25" t="s">
        <v>308</v>
      </c>
      <c r="C89" s="21" t="s">
        <v>45</v>
      </c>
      <c r="D89" s="26" t="s">
        <v>309</v>
      </c>
      <c r="E89" s="23" t="s">
        <v>26</v>
      </c>
      <c r="F89" s="27" t="s">
        <v>84</v>
      </c>
    </row>
    <row r="90" customFormat="false" ht="39.75" hidden="false" customHeight="true" outlineLevel="0" collapsed="false">
      <c r="A90" s="19" t="s">
        <v>310</v>
      </c>
      <c r="B90" s="20" t="s">
        <v>311</v>
      </c>
      <c r="C90" s="21" t="s">
        <v>45</v>
      </c>
      <c r="D90" s="22" t="s">
        <v>312</v>
      </c>
      <c r="E90" s="28" t="s">
        <v>28</v>
      </c>
      <c r="F90" s="24" t="s">
        <v>47</v>
      </c>
    </row>
    <row r="91" customFormat="false" ht="39.75" hidden="false" customHeight="true" outlineLevel="0" collapsed="false">
      <c r="A91" s="19" t="s">
        <v>313</v>
      </c>
      <c r="B91" s="25" t="s">
        <v>314</v>
      </c>
      <c r="C91" s="21" t="s">
        <v>45</v>
      </c>
      <c r="D91" s="26" t="s">
        <v>315</v>
      </c>
      <c r="E91" s="28" t="s">
        <v>28</v>
      </c>
      <c r="F91" s="27" t="s">
        <v>47</v>
      </c>
    </row>
    <row r="92" customFormat="false" ht="39.75" hidden="false" customHeight="true" outlineLevel="0" collapsed="false">
      <c r="A92" s="19" t="s">
        <v>316</v>
      </c>
      <c r="B92" s="20" t="s">
        <v>317</v>
      </c>
      <c r="C92" s="21" t="s">
        <v>45</v>
      </c>
      <c r="D92" s="22" t="s">
        <v>318</v>
      </c>
      <c r="E92" s="28" t="s">
        <v>28</v>
      </c>
      <c r="F92" s="24" t="s">
        <v>47</v>
      </c>
    </row>
    <row r="93" customFormat="false" ht="39.75" hidden="false" customHeight="true" outlineLevel="0" collapsed="false">
      <c r="A93" s="19" t="s">
        <v>319</v>
      </c>
      <c r="B93" s="25" t="s">
        <v>320</v>
      </c>
      <c r="C93" s="21" t="s">
        <v>45</v>
      </c>
      <c r="D93" s="26" t="s">
        <v>321</v>
      </c>
      <c r="E93" s="28" t="s">
        <v>28</v>
      </c>
      <c r="F93" s="27" t="s">
        <v>47</v>
      </c>
    </row>
    <row r="94" customFormat="false" ht="39.75" hidden="false" customHeight="true" outlineLevel="0" collapsed="false">
      <c r="A94" s="19" t="s">
        <v>322</v>
      </c>
      <c r="B94" s="20" t="s">
        <v>323</v>
      </c>
      <c r="C94" s="21" t="s">
        <v>45</v>
      </c>
      <c r="D94" s="22" t="s">
        <v>324</v>
      </c>
      <c r="E94" s="28" t="s">
        <v>28</v>
      </c>
      <c r="F94" s="24" t="s">
        <v>65</v>
      </c>
    </row>
    <row r="95" customFormat="false" ht="39.75" hidden="false" customHeight="true" outlineLevel="0" collapsed="false">
      <c r="A95" s="19" t="s">
        <v>325</v>
      </c>
      <c r="B95" s="25" t="s">
        <v>326</v>
      </c>
      <c r="C95" s="21" t="s">
        <v>45</v>
      </c>
      <c r="D95" s="26" t="s">
        <v>327</v>
      </c>
      <c r="E95" s="23" t="s">
        <v>45</v>
      </c>
      <c r="F95" s="27" t="s">
        <v>65</v>
      </c>
    </row>
    <row r="96" customFormat="false" ht="39.75" hidden="false" customHeight="true" outlineLevel="0" collapsed="false">
      <c r="A96" s="19" t="s">
        <v>328</v>
      </c>
      <c r="B96" s="20" t="s">
        <v>329</v>
      </c>
      <c r="C96" s="21" t="s">
        <v>45</v>
      </c>
      <c r="D96" s="22" t="s">
        <v>330</v>
      </c>
      <c r="E96" s="23" t="s">
        <v>26</v>
      </c>
      <c r="F96" s="24" t="s">
        <v>47</v>
      </c>
    </row>
    <row r="97" customFormat="false" ht="39.75" hidden="false" customHeight="true" outlineLevel="0" collapsed="false">
      <c r="A97" s="19" t="s">
        <v>331</v>
      </c>
      <c r="B97" s="25" t="s">
        <v>332</v>
      </c>
      <c r="C97" s="21" t="s">
        <v>45</v>
      </c>
      <c r="D97" s="26" t="s">
        <v>333</v>
      </c>
      <c r="E97" s="23" t="s">
        <v>26</v>
      </c>
      <c r="F97" s="27" t="s">
        <v>47</v>
      </c>
    </row>
    <row r="98" customFormat="false" ht="39.75" hidden="false" customHeight="true" outlineLevel="0" collapsed="false">
      <c r="A98" s="19" t="s">
        <v>334</v>
      </c>
      <c r="B98" s="20" t="s">
        <v>335</v>
      </c>
      <c r="C98" s="21" t="s">
        <v>45</v>
      </c>
      <c r="D98" s="22" t="s">
        <v>336</v>
      </c>
      <c r="E98" s="23" t="s">
        <v>26</v>
      </c>
      <c r="F98" s="24" t="s">
        <v>47</v>
      </c>
    </row>
    <row r="99" customFormat="false" ht="39.75" hidden="false" customHeight="true" outlineLevel="0" collapsed="false">
      <c r="A99" s="19" t="s">
        <v>337</v>
      </c>
      <c r="B99" s="25" t="s">
        <v>338</v>
      </c>
      <c r="C99" s="21" t="s">
        <v>45</v>
      </c>
      <c r="D99" s="26" t="s">
        <v>339</v>
      </c>
      <c r="E99" s="23" t="s">
        <v>26</v>
      </c>
      <c r="F99" s="27" t="s">
        <v>160</v>
      </c>
    </row>
  </sheetData>
  <mergeCells count="5">
    <mergeCell ref="A1:F1"/>
    <mergeCell ref="A3:F3"/>
    <mergeCell ref="A41:F41"/>
    <mergeCell ref="A50:F50"/>
    <mergeCell ref="A65:F65"/>
  </mergeCells>
  <dataValidations count="2">
    <dataValidation allowBlank="false" errorStyle="stop" operator="between" showDropDown="false" showErrorMessage="false" showInputMessage="false" sqref="C3:C200" type="list">
      <formula1>"Included,Excluded"</formula1>
      <formula2>0</formula2>
    </dataValidation>
    <dataValidation allowBlank="false" errorStyle="stop" operator="between" showDropDown="false" showErrorMessage="false" showInputMessage="false" sqref="E3:E200" type="list">
      <formula1>"Implemented,Partially Implemented,Planned,Not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29" t="s">
        <v>340</v>
      </c>
      <c r="B1" s="29"/>
      <c r="C1" s="29"/>
    </row>
    <row r="2" customFormat="false" ht="4.5" hidden="false" customHeight="true" outlineLevel="0" collapsed="false">
      <c r="A2" s="3"/>
      <c r="B2" s="3"/>
      <c r="C2" s="3"/>
    </row>
    <row r="3" customFormat="false" ht="13.5" hidden="false" customHeight="true" outlineLevel="0" collapsed="false"/>
    <row r="4" customFormat="false" ht="27.75" hidden="false" customHeight="true" outlineLevel="0" collapsed="false">
      <c r="A4" s="30" t="s">
        <v>341</v>
      </c>
      <c r="B4" s="31" t="n">
        <f aca="false">COUNTA('Statement of Applicability'!A3:A200)-COUNTIF('Statement of Applicability'!A3:A200,"GRP")</f>
        <v>97</v>
      </c>
    </row>
    <row r="5" customFormat="false" ht="27.75" hidden="false" customHeight="true" outlineLevel="0" collapsed="false">
      <c r="A5" s="32" t="s">
        <v>22</v>
      </c>
      <c r="B5" s="33" t="n">
        <f aca="false">COUNTIF('Statement of Applicability'!C3:C200,"Included")</f>
        <v>93</v>
      </c>
    </row>
    <row r="6" customFormat="false" ht="27.75" hidden="false" customHeight="true" outlineLevel="0" collapsed="false">
      <c r="A6" s="34" t="s">
        <v>24</v>
      </c>
      <c r="B6" s="35" t="n">
        <f aca="false">COUNTIF('Statement of Applicability'!C3:C200,"Excluded")</f>
        <v>0</v>
      </c>
    </row>
    <row r="7" customFormat="false" ht="27.75" hidden="false" customHeight="true" outlineLevel="0" collapsed="false">
      <c r="A7" s="32" t="s">
        <v>342</v>
      </c>
      <c r="B7" s="33" t="n">
        <f aca="false">COUNTIF('Statement of Applicability'!E3:E200,"Implemented")</f>
        <v>83</v>
      </c>
    </row>
    <row r="8" customFormat="false" ht="27.75" hidden="false" customHeight="true" outlineLevel="0" collapsed="false">
      <c r="A8" s="36" t="s">
        <v>343</v>
      </c>
      <c r="B8" s="37" t="n">
        <f aca="false">COUNTIF('Statement of Applicability'!E3:E200,"Partially Implemented")</f>
        <v>9</v>
      </c>
    </row>
    <row r="9" customFormat="false" ht="27.75" hidden="false" customHeight="true" outlineLevel="0" collapsed="false">
      <c r="A9" s="30" t="s">
        <v>344</v>
      </c>
      <c r="B9" s="31" t="n">
        <f aca="false">COUNTIF('Statement of Applicability'!E3:E200,"Planned")</f>
        <v>0</v>
      </c>
    </row>
    <row r="10" customFormat="false" ht="27.75" hidden="false" customHeight="true" outlineLevel="0" collapsed="false">
      <c r="A10" s="38" t="s">
        <v>345</v>
      </c>
      <c r="B10" s="39" t="n">
        <f aca="false">COUNTIF('Statement of Applicability'!E3:E200,"Not Applicable")</f>
        <v>0</v>
      </c>
    </row>
    <row r="12" customFormat="false" ht="19.5" hidden="false" customHeight="true" outlineLevel="0" collapsed="false"/>
    <row r="13" customFormat="false" ht="24" hidden="false" customHeight="true" outlineLevel="0" collapsed="false">
      <c r="A13" s="40" t="s">
        <v>346</v>
      </c>
      <c r="B13" s="40"/>
      <c r="C13" s="40"/>
    </row>
    <row r="14" customFormat="false" ht="21.75" hidden="false" customHeight="true" outlineLevel="0" collapsed="false">
      <c r="A14" s="41" t="s">
        <v>347</v>
      </c>
      <c r="B14" s="42" t="s">
        <v>348</v>
      </c>
      <c r="C14" s="43"/>
    </row>
    <row r="15" customFormat="false" ht="21.75" hidden="false" customHeight="true" outlineLevel="0" collapsed="false">
      <c r="A15" s="44" t="s">
        <v>349</v>
      </c>
      <c r="B15" s="45" t="s">
        <v>350</v>
      </c>
      <c r="C15" s="46"/>
    </row>
    <row r="16" customFormat="false" ht="21.75" hidden="false" customHeight="true" outlineLevel="0" collapsed="false">
      <c r="A16" s="41" t="s">
        <v>351</v>
      </c>
      <c r="B16" s="42" t="s">
        <v>352</v>
      </c>
      <c r="C16" s="43"/>
    </row>
    <row r="17" customFormat="false" ht="21.75" hidden="false" customHeight="true" outlineLevel="0" collapsed="false">
      <c r="A17" s="44" t="s">
        <v>353</v>
      </c>
      <c r="B17" s="45" t="s">
        <v>354</v>
      </c>
      <c r="C17" s="46"/>
    </row>
    <row r="18" customFormat="false" ht="21.75" hidden="false" customHeight="true" outlineLevel="0" collapsed="false">
      <c r="A18" s="47" t="s">
        <v>355</v>
      </c>
      <c r="B18" s="48" t="s">
        <v>356</v>
      </c>
      <c r="C18" s="49"/>
    </row>
    <row r="20" customFormat="false" ht="15.75" hidden="false" customHeight="true" outlineLevel="0" collapsed="false">
      <c r="A20" s="15" t="s">
        <v>357</v>
      </c>
      <c r="B20" s="15"/>
      <c r="C20" s="15"/>
    </row>
  </sheetData>
  <mergeCells count="4">
    <mergeCell ref="A1:C1"/>
    <mergeCell ref="A2:C2"/>
    <mergeCell ref="A13:C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2026-05-09T11:55:59Z</dcterms:created>
  <dc:creator>openpyxl</dc:creator>
  <dc:description/>
  <dc:language>en-US</dc:language>
  <cp:lastModifiedBy/>
  <dcterms:modified xsi:type="dcterms:W3CDTF">2026-05-09T11:55:59Z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